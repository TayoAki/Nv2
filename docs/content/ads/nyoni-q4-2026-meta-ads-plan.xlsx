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cepts" sheetId="2" state="visible" r:id="rId2"/>
    <sheet name="Budget" sheetId="3" state="visible" r:id="rId3"/>
    <sheet name="Flight calendar" sheetId="4" state="visible" r:id="rId4"/>
    <sheet name="Competitor ads" sheetId="5" state="visible" r:id="rId5"/>
    <sheet name="Setup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#,##0.0"/>
    <numFmt numFmtId="167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FFFFFF"/>
    </font>
    <font>
      <name val="Arial"/>
      <color rgb="000000FF"/>
    </font>
    <font>
      <name val="Arial"/>
      <i val="1"/>
      <color rgb="00666666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164" fontId="5" fillId="3" borderId="0" pivotButton="0" quotePrefix="0" xfId="0"/>
    <xf numFmtId="0" fontId="6" fillId="0" borderId="0" pivotButton="0" quotePrefix="0" xfId="0"/>
    <xf numFmtId="165" fontId="5" fillId="3" borderId="0" pivotButton="0" quotePrefix="0" xfId="0"/>
    <xf numFmtId="9" fontId="5" fillId="3" borderId="0" pivotButton="0" quotePrefix="0" xfId="0"/>
    <xf numFmtId="164" fontId="0" fillId="0" borderId="0" pivotButton="0" quotePrefix="0" xfId="0"/>
    <xf numFmtId="9" fontId="0" fillId="0" borderId="0" pivotButton="0" quotePrefix="0" xfId="0"/>
    <xf numFmtId="164" fontId="3" fillId="0" borderId="0" pivotButton="0" quotePrefix="0" xfId="0"/>
    <xf numFmtId="0" fontId="4" fillId="2" borderId="0" pivotButton="0" quotePrefix="0" xfId="0"/>
    <xf numFmtId="164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6" fontId="3" fillId="0" borderId="0" pivotButton="0" quotePrefix="0" xfId="0"/>
    <xf numFmtId="0" fontId="7" fillId="0" borderId="0" pivotButton="0" quotePrefix="0" xfId="0"/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Nyoni Couture: Meta ads plan, 7 Oct – 31 Dec 2026</t>
        </is>
      </c>
    </row>
    <row r="2">
      <c r="A2" s="2" t="inlineStr"/>
    </row>
    <row r="3">
      <c r="A3" s="3" t="inlineStr">
        <is>
          <t>Where we start</t>
        </is>
      </c>
    </row>
    <row r="4">
      <c r="A4" s="2" t="inlineStr">
        <is>
          <t>• Ad account "Nyoni Couture Ad Account" is active with a payment method; lifetime spend only $1,524, and no ads have run on the Nyoni page. The WooCommerce catalog is already connected.</t>
        </is>
      </c>
    </row>
    <row r="5">
      <c r="A5" s="2" t="inlineStr">
        <is>
          <t>• Pixel (last 24 days): 69,011 page views · 50,316 product views · 45 add-to-carts · 27 checkouts · 10 purchases · 51 fitting bookings. Lots of traffic, few sales: the job is to turn browsers into buyers.</t>
        </is>
      </c>
    </row>
    <row r="6">
      <c r="A6" s="2" t="inlineStr">
        <is>
          <t>• 257K Instagram followers and showrooms in Atlanta and Charlotte. These are warm audiences most competitors would pay for.</t>
        </is>
      </c>
    </row>
    <row r="7">
      <c r="A7" s="2" t="inlineStr"/>
    </row>
    <row r="8">
      <c r="A8" s="3" t="inlineStr">
        <is>
          <t>What competitors run (577 live US ads from 12 menswear brands + Parijan, via the Meta Ad Library, 7 Oct 2026)</t>
        </is>
      </c>
    </row>
    <row r="9">
      <c r="A9" s="2" t="inlineStr">
        <is>
          <t>• 75% of ads use dynamic creative (several images, videos and texts in one ad, so Meta finds the winner); 16% are catalog ads; 36% include video.</t>
        </is>
      </c>
    </row>
    <row r="10">
      <c r="A10" s="2" t="inlineStr">
        <is>
          <t>• Ads that run longest (the best public sign an ad makes money) are simple: a price anchor ("starting at $375", 72 ads), a risk reversal ("free shipping, returns &amp; unlimited exchanges", SuitShop, 300+ days) and fittings ("Book your complimentary fitting", Proper Cloth, 180–240 days; Indochino has 45 "Book now" ads).</t>
        </is>
      </c>
    </row>
    <row r="11">
      <c r="A11" s="2" t="inlineStr">
        <is>
          <t>• Q4 launches so far: event discounts (Brooks Brothers Friends &amp; Family 25% + extra 10%, Bonobos 25% off) and stylist or celebrity "how to wear it" videos.</t>
        </is>
      </c>
    </row>
    <row r="12">
      <c r="A12" s="2" t="inlineStr">
        <is>
          <t>• Black Friday 2025: Indochino 30% off sitewide, run through a creator's account; Parijan (an AI-model menswear brand) "Early Black Friday" ads that ran 300+ days; 50–70% off from smaller brands.</t>
        </is>
      </c>
    </row>
    <row r="13">
      <c r="A13" s="2" t="inlineStr">
        <is>
          <t>• White space: nobody runs AI style-guide ("remember…") ads, two-generation styling, or "try it on in the app" ads. Hockerty's "Same man. Same street. Two suits." comparison is the closest.</t>
        </is>
      </c>
    </row>
    <row r="14">
      <c r="A14" s="2" t="inlineStr"/>
    </row>
    <row r="15">
      <c r="A15" s="3" t="inlineStr">
        <is>
          <t>The plan</t>
        </is>
      </c>
    </row>
    <row r="16">
      <c r="A16" s="2" t="inlineStr">
        <is>
          <t>1. Three campaigns only (a new account learns faster when it isn't split): Prospecting (Advantage+ sales), Retargeting (catalog + warm audiences) and Fittings (Atlanta + Charlotte, optimised for the Schedule event).</t>
        </is>
      </c>
    </row>
    <row r="17">
      <c r="A17" s="2" t="inlineStr">
        <is>
          <t>2. Four phases: Test (7 Oct – 9 Nov) → Black Friday / Cyber Monday (10 Nov – 2 Dec) → Gifting until the last shipping day (3 – 17 Dec) → Showroom, New Year's Eve and engagement season (18 – 31 Dec).</t>
        </is>
      </c>
    </row>
    <row r="18">
      <c r="A18" s="2" t="inlineStr">
        <is>
          <t>3. 15 concepts (Concepts tab). Launch 6 in week 1, cut losers after 7 days, and move budget to the winners.</t>
        </is>
      </c>
    </row>
    <row r="19">
      <c r="A19" s="2" t="inlineStr">
        <is>
          <t>4. Budget: base case $12,000 for the quarter. Change the yellow cells on the Budget tab; every figure recalculates. Forecasts are assumptions until week 2: replace them with real numbers.</t>
        </is>
      </c>
    </row>
    <row r="20">
      <c r="A20" s="2" t="inlineStr"/>
    </row>
    <row r="21">
      <c r="A21" s="3" t="inlineStr">
        <is>
          <t>Decisions only you can make (marked DECIDE on the Concepts tab)</t>
        </is>
      </c>
    </row>
    <row r="22">
      <c r="A22" s="2" t="inlineStr">
        <is>
          <t>• The Black Friday offer, and whether to discount at all.  • The Christmas shipping cut-off.  • Returns, exchanges and alterations policy: only advertise what is true.  • Real customer reviews to quote.  • Whether the app is in the App Store before you advertise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6" customWidth="1" min="4" max="4"/>
    <col width="22" customWidth="1" min="5" max="5"/>
    <col width="34" customWidth="1" min="6" max="6"/>
    <col width="40" customWidth="1" min="7" max="7"/>
    <col width="40" customWidth="1" min="8" max="8"/>
    <col width="44" customWidth="1" min="9" max="9"/>
    <col width="22" customWidth="1" min="10" max="10"/>
    <col width="26" customWidth="1" min="11" max="11"/>
    <col width="46" customWidth="1" min="12" max="12"/>
    <col width="14" customWidth="1" min="13" max="13"/>
  </cols>
  <sheetData>
    <row r="1">
      <c r="A1" s="4" t="inlineStr">
        <is>
          <t>#</t>
        </is>
      </c>
      <c r="B1" s="4" t="inlineStr">
        <is>
          <t>Concept</t>
        </is>
      </c>
      <c r="C1" s="4" t="inlineStr">
        <is>
          <t>Campaign</t>
        </is>
      </c>
      <c r="D1" s="4" t="inlineStr">
        <is>
          <t>Flight</t>
        </is>
      </c>
      <c r="E1" s="4" t="inlineStr">
        <is>
          <t>Format</t>
        </is>
      </c>
      <c r="F1" s="4" t="inlineStr">
        <is>
          <t>Hook (first 3 s / headline)</t>
        </is>
      </c>
      <c r="G1" s="4" t="inlineStr">
        <is>
          <t>Primary text</t>
        </is>
      </c>
      <c r="H1" s="4" t="inlineStr">
        <is>
          <t>Visual / script</t>
        </is>
      </c>
      <c r="I1" s="4" t="inlineStr">
        <is>
          <t>Products and links</t>
        </is>
      </c>
      <c r="J1" s="4" t="inlineStr">
        <is>
          <t>CTA → landing page</t>
        </is>
      </c>
      <c r="K1" s="4" t="inlineStr">
        <is>
          <t>Audience</t>
        </is>
      </c>
      <c r="L1" s="4" t="inlineStr">
        <is>
          <t>Why: competitor evidence</t>
        </is>
      </c>
      <c r="M1" s="4" t="inlineStr">
        <is>
          <t>Priority</t>
        </is>
      </c>
    </row>
    <row r="2">
      <c r="A2" s="5" t="n">
        <v>1</v>
      </c>
      <c r="B2" s="5" t="inlineStr">
        <is>
          <t>"Remember…" style guide: two generations</t>
        </is>
      </c>
      <c r="C2" s="5" t="inlineStr">
        <is>
          <t>Prospecting</t>
        </is>
      </c>
      <c r="D2" s="5" t="inlineStr">
        <is>
          <t>7 Oct – 31 Dec (always on)</t>
        </is>
      </c>
      <c r="E2" s="5" t="inlineStr">
        <is>
          <t>9:16 talking video, 15–20 s (from the organic pipeline)</t>
        </is>
      </c>
      <c r="F2" s="5" t="inlineStr">
        <is>
          <t>"Remember, charcoal with white looks safe… but add the waistcoat, and it looks powerful."</t>
        </is>
      </c>
      <c r="G2" s="5" t="inlineStr">
        <is>
          <t>Same fit, two generations 🤍 Which one would you wear? Every piece is tailored by Nyoni Couture. Shop the looks 👇</t>
        </is>
      </c>
      <c r="H2" s="5" t="inlineStr">
        <is>
          <t>Victor (58) and Jalen (27) side by side; hard cut on "but"; colour words above their heads. Use the best-performing organic video as the ad.</t>
        </is>
      </c>
      <c r="I2" s="5" t="inlineStr">
        <is>
          <t>Charcoal 3-piece $895 https://nyonicouture.com/product/three-piece-suit/grayson/
Thomson $1,095 https://nyonicouture.com/product/blazers/thomson-blazer/
Ivoire DB $495 https://nyonicouture.com/product/blazers/ivoire-blazer-2/</t>
        </is>
      </c>
      <c r="J2" s="5" t="inlineStr">
        <is>
          <t>Shop now → product page of the featured look</t>
        </is>
      </c>
      <c r="K2" s="5" t="inlineStr">
        <is>
          <t>Broad, US, men 25–65 + women 25–55 (Advantage+ audience)</t>
        </is>
      </c>
      <c r="L2" s="5" t="inlineStr">
        <is>
          <t>White space: no competitor runs AI style-guide ads. The organic format reaches 1M+ views on @layrandlayr. Hockerty's side-by-side "Same man. Same street. Two suits." is live in several variants.</t>
        </is>
      </c>
      <c r="M2" s="5" t="inlineStr">
        <is>
          <t>P1: launch week 1</t>
        </is>
      </c>
    </row>
    <row r="3">
      <c r="A3" s="5" t="n">
        <v>2</v>
      </c>
      <c r="B3" s="5" t="inlineStr">
        <is>
          <t>Better with a blazer</t>
        </is>
      </c>
      <c r="C3" s="5" t="inlineStr">
        <is>
          <t>Prospecting</t>
        </is>
      </c>
      <c r="D3" s="5" t="inlineStr">
        <is>
          <t>7 Oct – 31 Dec</t>
        </is>
      </c>
      <c r="E3" s="5" t="inlineStr">
        <is>
          <t>Dynamic creative: 3 videos + 4 images</t>
        </is>
      </c>
      <c r="F3" s="5" t="inlineStr">
        <is>
          <t>"Your jeans are fine. The blazer is what makes it."</t>
        </is>
      </c>
      <c r="G3" s="5" t="inlineStr">
        <is>
          <t>The look is already working. A Nyoni blazer finishes it. Tailored blazers from $495.</t>
        </is>
      </c>
      <c r="H3" s="5" t="inlineStr">
        <is>
          <t>Same man: tee + jeans → add the Indigo, Ivoire, Thomson or James blazer. One look per frame, price on the last frame.</t>
        </is>
      </c>
      <c r="I3" s="5" t="inlineStr">
        <is>
          <t>Indigo $495 https://nyonicouture.com/product/blazers/navy-aztec-blazer/
Ivoire $495 https://nyonicouture.com/product/blazers/ivoire-blazer-2/
Thomson $1,095 https://nyonicouture.com/product/blazers/thomson-blazer/
James $1,095 https://nyonicouture.com/product/blazers/james-blazer/</t>
        </is>
      </c>
      <c r="J3" s="5" t="inlineStr">
        <is>
          <t>Shop now → blazers collection</t>
        </is>
      </c>
      <c r="K3" s="5" t="inlineStr">
        <is>
          <t>Broad, men 25–55</t>
        </is>
      </c>
      <c r="L3" s="5" t="inlineStr">
        <is>
          <t>Jos. A. Bank "Better With A Sportcoat… starting at $199" has run 119 days. Price anchors appear in 72 of 577 competitor ads.</t>
        </is>
      </c>
      <c r="M3" s="5" t="inlineStr">
        <is>
          <t>P1: launch week 1</t>
        </is>
      </c>
    </row>
    <row r="4">
      <c r="A4" s="5" t="n">
        <v>3</v>
      </c>
      <c r="B4" s="5" t="inlineStr">
        <is>
          <t>Off the rack vs Nyoni</t>
        </is>
      </c>
      <c r="C4" s="5" t="inlineStr">
        <is>
          <t>Prospecting</t>
        </is>
      </c>
      <c r="D4" s="5" t="inlineStr">
        <is>
          <t>14 Oct – 31 Dec</t>
        </is>
      </c>
      <c r="E4" s="5" t="inlineStr">
        <is>
          <t>9:16 video, split screen, 10–15 s</t>
        </is>
      </c>
      <c r="F4" s="5" t="inlineStr">
        <is>
          <t>"If the jacket pulls at the button, it's not your body. It's the rack."</t>
        </is>
      </c>
      <c r="G4" s="5" t="inlineStr">
        <is>
          <t>Same man. Two jackets. One was made for someone else. Get fitted at Nyoni Couture in Atlanta or Charlotte, or shop online.</t>
        </is>
      </c>
      <c r="H4" s="5" t="inlineStr">
        <is>
          <t>Split screen: left an ill-fitting off-the-rack suit (pulling button, long sleeves); right the Nyoni Navy three-piece. Slow push-in.</t>
        </is>
      </c>
      <c r="I4" s="5" t="inlineStr">
        <is>
          <t>Navy 3-piece $895 https://nyonicouture.com/product/three-piece-suit/nathan/</t>
        </is>
      </c>
      <c r="J4" s="5" t="inlineStr">
        <is>
          <t>Shop now (or Book now in the local ad set)</t>
        </is>
      </c>
      <c r="K4" s="5" t="inlineStr">
        <is>
          <t>Broad, men 28–55</t>
        </is>
      </c>
      <c r="L4" s="5" t="inlineStr">
        <is>
          <t>Hockerty's fit-pain ads ("32 points of measurement", "Same man… two suits") run in several variants, 34–89 days. Indochino: "Fit shouldn't be a luxury… starting at $499".</t>
        </is>
      </c>
      <c r="M4" s="5" t="inlineStr">
        <is>
          <t>P1: launch week 2</t>
        </is>
      </c>
    </row>
    <row r="5">
      <c r="A5" s="5" t="n">
        <v>4</v>
      </c>
      <c r="B5" s="5" t="inlineStr">
        <is>
          <t>Book your fitting: Atlanta / Charlotte</t>
        </is>
      </c>
      <c r="C5" s="5" t="inlineStr">
        <is>
          <t>Fittings (local)</t>
        </is>
      </c>
      <c r="D5" s="5" t="inlineStr">
        <is>
          <t>7 Oct – 31 Dec (always on)</t>
        </is>
      </c>
      <c r="E5" s="5" t="inlineStr">
        <is>
          <t>Dynamic creative: showroom photos + 1 short video</t>
        </is>
      </c>
      <c r="F5" s="5" t="inlineStr">
        <is>
          <t>"Atlanta: this is what a suit that fits feels like."</t>
        </is>
      </c>
      <c r="G5" s="5" t="inlineStr">
        <is>
          <t>Book a fitting at our Atlanta showroom. Try the pieces on, get measured and leave knowing your size. Takes 30 minutes.</t>
        </is>
      </c>
      <c r="H5" s="5" t="inlineStr">
        <is>
          <t>Real showroom photos and a 10 s walkthrough; a version per city ("Charlotte: …").</t>
        </is>
      </c>
      <c r="I5" s="5" t="inlineStr">
        <is>
          <t>All products; booking page https://nyoni-couture.square.site/</t>
        </is>
      </c>
      <c r="J5" s="5" t="inlineStr">
        <is>
          <t>Book now → Square booking page (fire Schedule)</t>
        </is>
      </c>
      <c r="K5" s="5" t="inlineStr">
        <is>
          <t>25 miles around each showroom, 25–65, all genders (partners book too)</t>
        </is>
      </c>
      <c r="L5" s="5" t="inlineStr">
        <is>
          <t>Proper Cloth's "Book your complimentary fitting" ads have run 180–240 days; Indochino runs 45 "Book now" ads; Buck Mason runs "Come on down, [city]". Nyoni's pixel already records about 2 fitting bookings a day.</t>
        </is>
      </c>
      <c r="M5" s="5" t="inlineStr">
        <is>
          <t>P1: launch week 1</t>
        </is>
      </c>
    </row>
    <row r="6">
      <c r="A6" s="5" t="n">
        <v>5</v>
      </c>
      <c r="B6" s="5" t="inlineStr">
        <is>
          <t>Catalog retargeting: "Still thinking about it?"</t>
        </is>
      </c>
      <c r="C6" s="5" t="inlineStr">
        <is>
          <t>Retargeting</t>
        </is>
      </c>
      <c r="D6" s="5" t="inlineStr">
        <is>
          <t>7 Oct – 31 Dec (always on)</t>
        </is>
      </c>
      <c r="E6" s="5" t="inlineStr">
        <is>
          <t>Advantage+ catalog ad (carousel), product set from the WooCommerce catalog</t>
        </is>
      </c>
      <c r="F6" s="5" t="inlineStr">
        <is>
          <t>"The one you looked at is still here."</t>
        </is>
      </c>
      <c r="G6" s="5" t="inlineStr">
        <is>
          <t>Still deciding? Book a fitting in Atlanta or Charlotte, or message us with your measurements and we'll help you choose a size.</t>
        </is>
      </c>
      <c r="H6" s="5" t="inlineStr">
        <is>
          <t>Catalog images with a frame overlay ("Tailored by Nyoni Couture").</t>
        </is>
      </c>
      <c r="I6" s="5" t="inlineStr">
        <is>
          <t>Dynamic: products viewed</t>
        </is>
      </c>
      <c r="J6" s="5" t="inlineStr">
        <is>
          <t>Shop now → product</t>
        </is>
      </c>
      <c r="K6" s="5" t="inlineStr">
        <is>
          <t>Product viewers 30 days, add-to-cart 14 days; exclude buyers 30 days</t>
        </is>
      </c>
      <c r="L6" s="5" t="inlineStr">
        <is>
          <t>Catalog ads are 16% of competitor ads (Brooks Brothers 39 of 60). 50K product views in 24 days is a large pool to bring back.</t>
        </is>
      </c>
      <c r="M6" s="5" t="inlineStr">
        <is>
          <t>P1: launch week 1</t>
        </is>
      </c>
    </row>
    <row r="7">
      <c r="A7" s="5" t="n">
        <v>6</v>
      </c>
      <c r="B7" s="5" t="inlineStr">
        <is>
          <t>Instagram follower warm-up</t>
        </is>
      </c>
      <c r="C7" s="5" t="inlineStr">
        <is>
          <t>Retargeting</t>
        </is>
      </c>
      <c r="D7" s="5" t="inlineStr">
        <is>
          <t>7 Oct – 9 Nov</t>
        </is>
      </c>
      <c r="E7" s="5" t="inlineStr">
        <is>
          <t>Reels: the top 3 organic videos</t>
        </is>
      </c>
      <c r="F7" s="5" t="inlineStr">
        <is>
          <t>Best-performing organic hook</t>
        </is>
      </c>
      <c r="G7" s="5" t="inlineStr">
        <is>
          <t>Our most-saved styling guide. Every piece is linked here.</t>
        </is>
      </c>
      <c r="H7" s="5" t="inlineStr">
        <is>
          <t>Run the organic winners as ads to followers and engagers.</t>
        </is>
      </c>
      <c r="I7" s="5" t="inlineStr">
        <is>
          <t>Products in each video</t>
        </is>
      </c>
      <c r="J7" s="5" t="inlineStr">
        <is>
          <t>Shop now</t>
        </is>
      </c>
      <c r="K7" s="5" t="inlineStr">
        <is>
          <t>IG engagers 365 days + page followers; exclude buyers</t>
        </is>
      </c>
      <c r="L7" s="5" t="inlineStr">
        <is>
          <t>Nyoni has 257K Instagram followers who have never been retargeted with ads.</t>
        </is>
      </c>
      <c r="M7" s="5" t="inlineStr">
        <is>
          <t>P1: launch week 1</t>
        </is>
      </c>
    </row>
    <row r="8">
      <c r="A8" s="5" t="n">
        <v>7</v>
      </c>
      <c r="B8" s="5" t="inlineStr">
        <is>
          <t>Real customer proof</t>
        </is>
      </c>
      <c r="C8" s="5" t="inlineStr">
        <is>
          <t>Retargeting</t>
        </is>
      </c>
      <c r="D8" s="5" t="inlineStr">
        <is>
          <t>21 Oct – 31 Dec</t>
        </is>
      </c>
      <c r="E8" s="5" t="inlineStr">
        <is>
          <t>Static quote cards + one 15 s video testimonial</t>
        </is>
      </c>
      <c r="F8" s="5" t="inlineStr">
        <is>
          <t>A real customer quote (DECIDE: needs permission)</t>
        </is>
      </c>
      <c r="G8" s="5" t="inlineStr">
        <is>
          <t>"[Customer quote]" – [first name], [city]. See why men in Atlanta and Charlotte get fitted at Nyoni.</t>
        </is>
      </c>
      <c r="H8" s="5" t="inlineStr">
        <is>
          <t>Customer in their Nyoni piece plus the quote. Only real, permitted quotes.</t>
        </is>
      </c>
      <c r="I8" s="5" t="inlineStr">
        <is>
          <t>Featured product</t>
        </is>
      </c>
      <c r="J8" s="5" t="inlineStr">
        <is>
          <t>Shop now / Book now</t>
        </is>
      </c>
      <c r="K8" s="5" t="inlineStr">
        <is>
          <t>Site visitors 60 days, IG engagers</t>
        </is>
      </c>
      <c r="L8" s="5" t="inlineStr">
        <is>
          <t>Proper Cloth's customer-quote ad has run 138 days. DECIDE: collect 3–5 real reviews with permission.</t>
        </is>
      </c>
      <c r="M8" s="5" t="inlineStr">
        <is>
          <t>P2: when quotes are ready</t>
        </is>
      </c>
    </row>
    <row r="9">
      <c r="A9" s="5" t="n">
        <v>8</v>
      </c>
      <c r="B9" s="5" t="inlineStr">
        <is>
          <t>Complete the look (boots and accessories)</t>
        </is>
      </c>
      <c r="C9" s="5" t="inlineStr">
        <is>
          <t>Retargeting</t>
        </is>
      </c>
      <c r="D9" s="5" t="inlineStr">
        <is>
          <t>21 Oct – 31 Dec</t>
        </is>
      </c>
      <c r="E9" s="5" t="inlineStr">
        <is>
          <t>Carousel</t>
        </is>
      </c>
      <c r="F9" s="5" t="inlineStr">
        <is>
          <t>"The suit is half the look."</t>
        </is>
      </c>
      <c r="G9" s="5" t="inlineStr">
        <is>
          <t>Finish it with the Antwerp wing-tip boot ($495), a silk pocket square ($69) and a leather belt ($145).</t>
        </is>
      </c>
      <c r="H9" s="5" t="inlineStr">
        <is>
          <t>Flat lay and on-body shots of boots, belt and square with each suit.</t>
        </is>
      </c>
      <c r="I9" s="5" t="inlineStr">
        <is>
          <t>Antwerp $495 https://nyonicouture.com/product/boots/antwerp-wing-tip/
Paisley $69 https://nyonicouture.com/product/accessories/pocket-squares/paisley/
Belt $145 https://nyonicouture.com/product/uncategorized/black-belt-2/</t>
        </is>
      </c>
      <c r="J9" s="5" t="inlineStr">
        <is>
          <t>Shop now</t>
        </is>
      </c>
      <c r="K9" s="5" t="inlineStr">
        <is>
          <t>Add-to-cart 30 days, past buyers 180 days</t>
        </is>
      </c>
      <c r="L9" s="5" t="inlineStr">
        <is>
          <t>Beckett Simonon runs 16 "Bundle Up and Save!" ads plus "Two pairs for $229"; bundles raise order value.</t>
        </is>
      </c>
      <c r="M9" s="5" t="inlineStr">
        <is>
          <t>P2</t>
        </is>
      </c>
    </row>
    <row r="10">
      <c r="A10" s="5" t="n">
        <v>9</v>
      </c>
      <c r="B10" s="5" t="inlineStr">
        <is>
          <t>Wedding season: dress the groom</t>
        </is>
      </c>
      <c r="C10" s="5" t="inlineStr">
        <is>
          <t>Prospecting</t>
        </is>
      </c>
      <c r="D10" s="5" t="inlineStr">
        <is>
          <t>1 Dec – 31 Dec</t>
        </is>
      </c>
      <c r="E10" s="5" t="inlineStr">
        <is>
          <t>Video + carousel</t>
        </is>
      </c>
      <c r="F10" s="5" t="inlineStr">
        <is>
          <t>"Just engaged? Start with the groom."</t>
        </is>
      </c>
      <c r="G10" s="5" t="inlineStr">
        <is>
          <t>Book the groom's fitting now and dress his groomsmen to match. Atlanta and Charlotte showrooms, or online.</t>
        </is>
      </c>
      <c r="H10" s="5" t="inlineStr">
        <is>
          <t>Groom and two groomsmen in coordinating Nyoni three-pieces; ring close-up.</t>
        </is>
      </c>
      <c r="I10" s="5" t="inlineStr">
        <is>
          <t>Navy 3-piece https://nyonicouture.com/product/three-piece-suit/nathan/
Charcoal 3-piece https://nyonicouture.com/product/three-piece-suit/grayson/
Tuxedo https://nyonicouture.com/product/tuxedo/opel-black-tux/</t>
        </is>
      </c>
      <c r="J10" s="5" t="inlineStr">
        <is>
          <t>Book now</t>
        </is>
      </c>
      <c r="K10" s="5" t="inlineStr">
        <is>
          <t>Engaged (life event) + broad men 25–40 near showrooms</t>
        </is>
      </c>
      <c r="L10" s="5" t="inlineStr">
        <is>
          <t>SuitShop's wedding-group ad has run 805 days; Indochino runs a separate weddings page. December is peak engagement season.</t>
        </is>
      </c>
      <c r="M10" s="5" t="inlineStr">
        <is>
          <t>P3</t>
        </is>
      </c>
    </row>
    <row r="11">
      <c r="A11" s="5" t="n">
        <v>10</v>
      </c>
      <c r="B11" s="5" t="inlineStr">
        <is>
          <t>Black Friday early access</t>
        </is>
      </c>
      <c r="C11" s="5" t="inlineStr">
        <is>
          <t>Retargeting</t>
        </is>
      </c>
      <c r="D11" s="5" t="inlineStr">
        <is>
          <t>17 – 26 Nov</t>
        </is>
      </c>
      <c r="E11" s="5" t="inlineStr">
        <is>
          <t>Static + Reel</t>
        </is>
      </c>
      <c r="F11" s="5" t="inlineStr">
        <is>
          <t>"Our followers shop first."</t>
        </is>
      </c>
      <c r="G11" s="5" t="inlineStr">
        <is>
          <t>Early access starts now for followers and past customers: [OFFER]. Ends [date].</t>
        </is>
      </c>
      <c r="H11" s="5" t="inlineStr">
        <is>
          <t>Simple, bold: offer + 3 hero pieces.</t>
        </is>
      </c>
      <c r="I11" s="5" t="inlineStr">
        <is>
          <t>Sitewide</t>
        </is>
      </c>
      <c r="J11" s="5" t="inlineStr">
        <is>
          <t>Shop now</t>
        </is>
      </c>
      <c r="K11" s="5" t="inlineStr">
        <is>
          <t>IG engagers, site visitors 180 days, customer list</t>
        </is>
      </c>
      <c r="L11" s="5" t="inlineStr">
        <is>
          <t>Brooks Brothers "Friends &amp; Family" (25% + extra 10%); Parijan "Early Black Friday" ads ran 300+ days. DECIDE: the offer.</t>
        </is>
      </c>
      <c r="M11" s="5" t="inlineStr">
        <is>
          <t>P2: BFCM</t>
        </is>
      </c>
    </row>
    <row r="12">
      <c r="A12" s="5" t="n">
        <v>11</v>
      </c>
      <c r="B12" s="5" t="inlineStr">
        <is>
          <t>Black Friday / Cyber Monday</t>
        </is>
      </c>
      <c r="C12" s="5" t="inlineStr">
        <is>
          <t>Prospecting + Retargeting</t>
        </is>
      </c>
      <c r="D12" s="5" t="inlineStr">
        <is>
          <t>27 Nov – 2 Dec</t>
        </is>
      </c>
      <c r="E12" s="5" t="inlineStr">
        <is>
          <t>Dynamic creative: video + statics</t>
        </is>
      </c>
      <c r="F12" s="5" t="inlineStr">
        <is>
          <t>"Once a year: [OFFER]."</t>
        </is>
      </c>
      <c r="G12" s="5" t="inlineStr">
        <is>
          <t>[OFFER] on tailored suits, blazers and boots. Ends Monday at midnight.</t>
        </is>
      </c>
      <c r="H12" s="5" t="inlineStr">
        <is>
          <t>Offer front and centre; countdown on day 4–5.</t>
        </is>
      </c>
      <c r="I12" s="5" t="inlineStr">
        <is>
          <t>Sitewide</t>
        </is>
      </c>
      <c r="J12" s="5" t="inlineStr">
        <is>
          <t>Shop now</t>
        </is>
      </c>
      <c r="K12" s="5" t="inlineStr">
        <is>
          <t>Broad + all warm audiences</t>
        </is>
      </c>
      <c r="L12" s="5" t="inlineStr">
        <is>
          <t>Indochino BF 2025: 30% off sitewide; Bonobos 25% off; smaller brands 50–70%. DECIDE: a percentage, or a gift with purchase (e.g. free pocket square + belt with any suit) to protect margin.</t>
        </is>
      </c>
      <c r="M12" s="5" t="inlineStr">
        <is>
          <t>P2: BFCM</t>
        </is>
      </c>
    </row>
    <row r="13">
      <c r="A13" s="5" t="n">
        <v>12</v>
      </c>
      <c r="B13" s="5" t="inlineStr">
        <is>
          <t>Gift guide: for her to buy him</t>
        </is>
      </c>
      <c r="C13" s="5" t="inlineStr">
        <is>
          <t>Prospecting</t>
        </is>
      </c>
      <c r="D13" s="5" t="inlineStr">
        <is>
          <t>1 – 17 Dec</t>
        </is>
      </c>
      <c r="E13" s="5" t="inlineStr">
        <is>
          <t>Carousel: under $100 / under $250 / the big gift</t>
        </is>
      </c>
      <c r="F13" s="5" t="inlineStr">
        <is>
          <t>"Buying for him? Start here."</t>
        </is>
      </c>
      <c r="G13" s="5" t="inlineStr">
        <is>
          <t>Gifts he'll actually wear: silk pocket squares $69, leather belt $145, boots $495, blazers from $495.</t>
        </is>
      </c>
      <c r="H13" s="5" t="inlineStr">
        <is>
          <t>Clean product tiles on cream with price; one tile with Victor and Jalen.</t>
        </is>
      </c>
      <c r="I13" s="5" t="inlineStr">
        <is>
          <t>Paisley $69 https://nyonicouture.com/product/accessories/pocket-squares/paisley/
Belt $145 https://nyonicouture.com/product/uncategorized/black-belt-2/
Antwerp $495 https://nyonicouture.com/product/boots/antwerp-wing-tip/
Ivoire $495 https://nyonicouture.com/product/blazers/ivoire-blazer-2/</t>
        </is>
      </c>
      <c r="J13" s="5" t="inlineStr">
        <is>
          <t>Shop now</t>
        </is>
      </c>
      <c r="K13" s="5" t="inlineStr">
        <is>
          <t>Women 25–60 (broad; interests: menswear, gifts) + engaged/married</t>
        </is>
      </c>
      <c r="L13" s="5" t="inlineStr">
        <is>
          <t>Organic research: women give menswear the highest engagement and buy for partners.</t>
        </is>
      </c>
      <c r="M13" s="5" t="inlineStr">
        <is>
          <t>P3: gifting</t>
        </is>
      </c>
    </row>
    <row r="14">
      <c r="A14" s="5" t="n">
        <v>13</v>
      </c>
      <c r="B14" s="5" t="inlineStr">
        <is>
          <t>Last order for Christmas</t>
        </is>
      </c>
      <c r="C14" s="5" t="inlineStr">
        <is>
          <t>Retargeting</t>
        </is>
      </c>
      <c r="D14" s="5" t="inlineStr">
        <is>
          <t>10 – 17 Dec</t>
        </is>
      </c>
      <c r="E14" s="5" t="inlineStr">
        <is>
          <t>Static + Story</t>
        </is>
      </c>
      <c r="F14" s="5" t="inlineStr">
        <is>
          <t>"Order by [DATE] for Christmas delivery."</t>
        </is>
      </c>
      <c r="G14" s="5" t="inlineStr">
        <is>
          <t>Last day for Christmas delivery is [DATE]. After that, book a fitting and we'll have it ready in the showroom.</t>
        </is>
      </c>
      <c r="H14" s="5" t="inlineStr">
        <is>
          <t>Date front and centre.</t>
        </is>
      </c>
      <c r="I14" s="5" t="inlineStr">
        <is>
          <t>Sitewide</t>
        </is>
      </c>
      <c r="J14" s="5" t="inlineStr">
        <is>
          <t>Shop now</t>
        </is>
      </c>
      <c r="K14" s="5" t="inlineStr">
        <is>
          <t>All warm audiences</t>
        </is>
      </c>
      <c r="L14" s="5" t="inlineStr">
        <is>
          <t>Standard Q4 deadline urgency; 17% of competitor ads use urgency. DECIDE: the real shipping cut-off.</t>
        </is>
      </c>
      <c r="M14" s="5" t="inlineStr">
        <is>
          <t>P3: gifting</t>
        </is>
      </c>
    </row>
    <row r="15">
      <c r="A15" s="5" t="n">
        <v>14</v>
      </c>
      <c r="B15" s="5" t="inlineStr">
        <is>
          <t>Holiday party and New Year's Eve black tie</t>
        </is>
      </c>
      <c r="C15" s="5" t="inlineStr">
        <is>
          <t>Prospecting</t>
        </is>
      </c>
      <c r="D15" s="5" t="inlineStr">
        <is>
          <t>1 – 31 Dec</t>
        </is>
      </c>
      <c r="E15" s="5" t="inlineStr">
        <is>
          <t>Video (from the content calendar)</t>
        </is>
      </c>
      <c r="F15" s="5" t="inlineStr">
        <is>
          <t>"New Year's Eve is black tie."</t>
        </is>
      </c>
      <c r="G15" s="5" t="inlineStr">
        <is>
          <t>The Sovereign double-breasted tuxedo. Fitted in Atlanta and Charlotte, or delivered to you.</t>
        </is>
      </c>
      <c r="H15" s="5" t="inlineStr">
        <is>
          <t>Tux with the Chalcedony shawl waistcoat; evening light.</t>
        </is>
      </c>
      <c r="I15" s="5" t="inlineStr">
        <is>
          <t>Sovereign tux $895 https://nyonicouture.com/product/tuxedo/opel-black-tux/</t>
        </is>
      </c>
      <c r="J15" s="5" t="inlineStr">
        <is>
          <t>Shop now / Book now</t>
        </is>
      </c>
      <c r="K15" s="5" t="inlineStr">
        <is>
          <t>Broad men 25–55 + local</t>
        </is>
      </c>
      <c r="L15" s="5" t="inlineStr">
        <is>
          <t>Seasonal demand; competitors lead Q4 with formalwear.</t>
        </is>
      </c>
      <c r="M15" s="5" t="inlineStr">
        <is>
          <t>P3</t>
        </is>
      </c>
    </row>
    <row r="16">
      <c r="A16" s="5" t="n">
        <v>15</v>
      </c>
      <c r="B16" s="5" t="inlineStr">
        <is>
          <t>Try it on in the Nyoni app (test)</t>
        </is>
      </c>
      <c r="C16" s="5" t="inlineStr">
        <is>
          <t>Prospecting</t>
        </is>
      </c>
      <c r="D16" s="5" t="inlineStr">
        <is>
          <t>From App Store launch (DECIDE)</t>
        </is>
      </c>
      <c r="E16" s="5" t="inlineStr">
        <is>
          <t>9:16 screen-recording video</t>
        </is>
      </c>
      <c r="F16" s="5" t="inlineStr">
        <is>
          <t>"Try the suit on before you buy it."</t>
        </is>
      </c>
      <c r="G16" s="5" t="inlineStr">
        <is>
          <t>See any Nyoni piece on you with AI try-on, then buy the one that fits your style. Free in the App Store.</t>
        </is>
      </c>
      <c r="H16" s="5" t="inlineStr">
        <is>
          <t>Phone screen: photo → try-on → product page. AI-generated try-ons are labelled.</t>
        </is>
      </c>
      <c r="I16" s="5" t="inlineStr">
        <is>
          <t>App Store link</t>
        </is>
      </c>
      <c r="J16" s="5" t="inlineStr">
        <is>
          <t>Install now</t>
        </is>
      </c>
      <c r="K16" s="5" t="inlineStr">
        <is>
          <t>Broad men 25–45</t>
        </is>
      </c>
      <c r="L16" s="5" t="inlineStr">
        <is>
          <t>No competitor offers AI try-on; Hockerty's "Even the AI says: measure" shows AI hooks are being tested. Only once the app is public.</t>
        </is>
      </c>
      <c r="M16" s="5" t="inlineStr">
        <is>
          <t>Test: small budget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8" customWidth="1" min="14" max="14"/>
  </cols>
  <sheetData>
    <row r="1">
      <c r="A1" s="6" t="inlineStr">
        <is>
          <t>Budget and forecast (blue text on yellow = inputs you can change; everything else is calculated)</t>
        </is>
      </c>
    </row>
    <row r="3">
      <c r="A3" s="7" t="inlineStr">
        <is>
          <t>Total Q4 budget ($)</t>
        </is>
      </c>
      <c r="B3" s="8" t="n">
        <v>12000</v>
      </c>
      <c r="C3" s="9" t="inlineStr">
        <is>
          <t>Base case. Lean = 6,000, Growth = 25,000.</t>
        </is>
      </c>
    </row>
    <row r="4">
      <c r="A4" s="7" t="inlineStr">
        <is>
          <t>Average order value ($)</t>
        </is>
      </c>
      <c r="B4" s="8" t="n">
        <v>650</v>
      </c>
      <c r="C4" s="9" t="inlineStr">
        <is>
          <t>Assumption: replace with WooCommerce average order value.</t>
        </is>
      </c>
    </row>
    <row r="5">
      <c r="A5" s="7" t="inlineStr">
        <is>
          <t>Prospecting CPM ($)</t>
        </is>
      </c>
      <c r="B5" s="8" t="n">
        <v>14</v>
      </c>
      <c r="C5" s="9" t="inlineStr">
        <is>
          <t>Assumption, US menswear; check in week 2.</t>
        </is>
      </c>
    </row>
    <row r="6">
      <c r="A6" s="7" t="inlineStr">
        <is>
          <t>Retargeting CPM ($)</t>
        </is>
      </c>
      <c r="B6" s="8" t="n">
        <v>22</v>
      </c>
      <c r="C6" s="9" t="inlineStr">
        <is>
          <t>Assumption; check in week 2.</t>
        </is>
      </c>
    </row>
    <row r="7">
      <c r="A7" s="7" t="inlineStr">
        <is>
          <t>Prospecting link CTR</t>
        </is>
      </c>
      <c r="B7" s="10" t="n">
        <v>0.008999999999999999</v>
      </c>
      <c r="C7" s="9" t="inlineStr">
        <is>
          <t>Assumption.</t>
        </is>
      </c>
    </row>
    <row r="8">
      <c r="A8" s="7" t="inlineStr">
        <is>
          <t>Retargeting link CTR</t>
        </is>
      </c>
      <c r="B8" s="10" t="n">
        <v>0.015</v>
      </c>
      <c r="C8" s="9" t="inlineStr">
        <is>
          <t>Assumption.</t>
        </is>
      </c>
    </row>
    <row r="9">
      <c r="A9" s="7" t="inlineStr">
        <is>
          <t>Prospecting purchase rate (per click)</t>
        </is>
      </c>
      <c r="B9" s="10" t="n">
        <v>0.004</v>
      </c>
      <c r="C9" s="9" t="inlineStr">
        <is>
          <t>Assumption: high-price items convert slowly.</t>
        </is>
      </c>
    </row>
    <row r="10">
      <c r="A10" s="7" t="inlineStr">
        <is>
          <t>Retargeting purchase rate (per click)</t>
        </is>
      </c>
      <c r="B10" s="10" t="n">
        <v>0.01</v>
      </c>
      <c r="C10" s="9" t="inlineStr">
        <is>
          <t>Assumption. Retargeting results look better than they are: some of these buyers would have bought anyway.</t>
        </is>
      </c>
    </row>
    <row r="11">
      <c r="A11" s="7" t="inlineStr">
        <is>
          <t>Cost per fitting booking ($)</t>
        </is>
      </c>
      <c r="B11" s="8" t="n">
        <v>60</v>
      </c>
      <c r="C11" s="9" t="inlineStr">
        <is>
          <t>Assumption; the pixel already tracks Schedule.</t>
        </is>
      </c>
    </row>
    <row r="12">
      <c r="A12" s="7" t="inlineStr">
        <is>
          <t>Fittings that buy</t>
        </is>
      </c>
      <c r="B12" s="10" t="n">
        <v>0.25</v>
      </c>
      <c r="C12" s="9" t="inlineStr">
        <is>
          <t>Assumption: replace with showroom close rate.</t>
        </is>
      </c>
    </row>
    <row r="13">
      <c r="A13" s="7" t="inlineStr">
        <is>
          <t>Average order after a fitting ($)</t>
        </is>
      </c>
      <c r="B13" s="8" t="n">
        <v>800</v>
      </c>
      <c r="C13" s="9" t="inlineStr">
        <is>
          <t>Assumption.</t>
        </is>
      </c>
    </row>
    <row r="15">
      <c r="A15" s="6" t="inlineStr">
        <is>
          <t>Phase split</t>
        </is>
      </c>
    </row>
    <row r="16">
      <c r="A16" s="4" t="inlineStr">
        <is>
          <t>Phase</t>
        </is>
      </c>
      <c r="B16" s="4" t="inlineStr">
        <is>
          <t>From</t>
        </is>
      </c>
      <c r="C16" s="4" t="inlineStr">
        <is>
          <t>To</t>
        </is>
      </c>
      <c r="D16" s="4" t="inlineStr">
        <is>
          <t>Days</t>
        </is>
      </c>
      <c r="E16" s="4" t="inlineStr">
        <is>
          <t>% of budget</t>
        </is>
      </c>
      <c r="F16" s="4" t="inlineStr">
        <is>
          <t>% Prospecting</t>
        </is>
      </c>
      <c r="G16" s="4" t="inlineStr">
        <is>
          <t>% Retargeting</t>
        </is>
      </c>
      <c r="H16" s="4" t="inlineStr">
        <is>
          <t>% Fittings</t>
        </is>
      </c>
      <c r="I16" s="4" t="inlineStr">
        <is>
          <t>Phase $</t>
        </is>
      </c>
      <c r="J16" s="4" t="inlineStr">
        <is>
          <t>Per day $</t>
        </is>
      </c>
      <c r="K16" s="4" t="inlineStr">
        <is>
          <t>Prospecting $</t>
        </is>
      </c>
      <c r="L16" s="4" t="inlineStr">
        <is>
          <t>Retargeting $</t>
        </is>
      </c>
      <c r="M16" s="4" t="inlineStr">
        <is>
          <t>Fittings $</t>
        </is>
      </c>
      <c r="N16" s="4" t="inlineStr">
        <is>
          <t>Split check</t>
        </is>
      </c>
    </row>
    <row r="17">
      <c r="A17" s="7" t="inlineStr">
        <is>
          <t>1 · Test</t>
        </is>
      </c>
      <c r="B17" s="7" t="inlineStr">
        <is>
          <t>7 Oct</t>
        </is>
      </c>
      <c r="C17" s="7" t="inlineStr">
        <is>
          <t>9 Nov</t>
        </is>
      </c>
      <c r="D17" s="7" t="n">
        <v>34</v>
      </c>
      <c r="E17" s="11" t="n">
        <v>0.25</v>
      </c>
      <c r="F17" s="11" t="n">
        <v>0.55</v>
      </c>
      <c r="G17" s="11" t="n">
        <v>0.2</v>
      </c>
      <c r="H17" s="11" t="n">
        <v>0.25</v>
      </c>
      <c r="I17" s="12">
        <f>$B$3*E17</f>
        <v/>
      </c>
      <c r="J17" s="12">
        <f>I17/D17</f>
        <v/>
      </c>
      <c r="K17" s="12">
        <f>I17*F17</f>
        <v/>
      </c>
      <c r="L17" s="12">
        <f>I17*G17</f>
        <v/>
      </c>
      <c r="M17" s="12">
        <f>I17*H17</f>
        <v/>
      </c>
      <c r="N17">
        <f>IF(ABS(F17+G17+H17-1)&lt;0.001,"OK","Must total 100%")</f>
        <v/>
      </c>
    </row>
    <row r="18">
      <c r="A18" s="7" t="inlineStr">
        <is>
          <t>2 · Black Friday / Cyber Monday</t>
        </is>
      </c>
      <c r="B18" s="7" t="inlineStr">
        <is>
          <t>10 Nov</t>
        </is>
      </c>
      <c r="C18" s="7" t="inlineStr">
        <is>
          <t>2 Dec</t>
        </is>
      </c>
      <c r="D18" s="7" t="n">
        <v>23</v>
      </c>
      <c r="E18" s="11" t="n">
        <v>0.4</v>
      </c>
      <c r="F18" s="11" t="n">
        <v>0.55</v>
      </c>
      <c r="G18" s="11" t="n">
        <v>0.3</v>
      </c>
      <c r="H18" s="11" t="n">
        <v>0.15</v>
      </c>
      <c r="I18" s="12">
        <f>$B$3*E18</f>
        <v/>
      </c>
      <c r="J18" s="12">
        <f>I18/D18</f>
        <v/>
      </c>
      <c r="K18" s="12">
        <f>I18*F18</f>
        <v/>
      </c>
      <c r="L18" s="12">
        <f>I18*G18</f>
        <v/>
      </c>
      <c r="M18" s="12">
        <f>I18*H18</f>
        <v/>
      </c>
      <c r="N18">
        <f>IF(ABS(F18+G18+H18-1)&lt;0.001,"OK","Must total 100%")</f>
        <v/>
      </c>
    </row>
    <row r="19">
      <c r="A19" s="7" t="inlineStr">
        <is>
          <t>3 · Gifting to last shipping day</t>
        </is>
      </c>
      <c r="B19" s="7" t="inlineStr">
        <is>
          <t>3 Dec</t>
        </is>
      </c>
      <c r="C19" s="7" t="inlineStr">
        <is>
          <t>17 Dec</t>
        </is>
      </c>
      <c r="D19" s="7" t="n">
        <v>15</v>
      </c>
      <c r="E19" s="11" t="n">
        <v>0.25</v>
      </c>
      <c r="F19" s="11" t="n">
        <v>0.5</v>
      </c>
      <c r="G19" s="11" t="n">
        <v>0.3</v>
      </c>
      <c r="H19" s="11" t="n">
        <v>0.2</v>
      </c>
      <c r="I19" s="12">
        <f>$B$3*E19</f>
        <v/>
      </c>
      <c r="J19" s="12">
        <f>I19/D19</f>
        <v/>
      </c>
      <c r="K19" s="12">
        <f>I19*F19</f>
        <v/>
      </c>
      <c r="L19" s="12">
        <f>I19*G19</f>
        <v/>
      </c>
      <c r="M19" s="12">
        <f>I19*H19</f>
        <v/>
      </c>
      <c r="N19">
        <f>IF(ABS(F19+G19+H19-1)&lt;0.001,"OK","Must total 100%")</f>
        <v/>
      </c>
    </row>
    <row r="20">
      <c r="A20" s="7" t="inlineStr">
        <is>
          <t>4 · Showroom, NYE, engagements</t>
        </is>
      </c>
      <c r="B20" s="7" t="inlineStr">
        <is>
          <t>18 Dec</t>
        </is>
      </c>
      <c r="C20" s="7" t="inlineStr">
        <is>
          <t>31 Dec</t>
        </is>
      </c>
      <c r="D20" s="7" t="n">
        <v>14</v>
      </c>
      <c r="E20" s="11" t="n">
        <v>0.1</v>
      </c>
      <c r="F20" s="11" t="n">
        <v>0.3</v>
      </c>
      <c r="G20" s="11" t="n">
        <v>0.2</v>
      </c>
      <c r="H20" s="11" t="n">
        <v>0.5</v>
      </c>
      <c r="I20" s="12">
        <f>$B$3*E20</f>
        <v/>
      </c>
      <c r="J20" s="12">
        <f>I20/D20</f>
        <v/>
      </c>
      <c r="K20" s="12">
        <f>I20*F20</f>
        <v/>
      </c>
      <c r="L20" s="12">
        <f>I20*G20</f>
        <v/>
      </c>
      <c r="M20" s="12">
        <f>I20*H20</f>
        <v/>
      </c>
      <c r="N20">
        <f>IF(ABS(F20+G20+H20-1)&lt;0.001,"OK","Must total 100%")</f>
        <v/>
      </c>
    </row>
    <row r="21">
      <c r="A21" s="6" t="inlineStr">
        <is>
          <t>Total</t>
        </is>
      </c>
      <c r="D21">
        <f>SUM(D17:D20)</f>
        <v/>
      </c>
      <c r="E21" s="13">
        <f>SUM(E17:E20)</f>
        <v/>
      </c>
      <c r="I21" s="14">
        <f>SUM(I17:I20)</f>
        <v/>
      </c>
      <c r="J21" s="12">
        <f>I21/D21</f>
        <v/>
      </c>
      <c r="K21" s="14">
        <f>SUM(K17:K20)</f>
        <v/>
      </c>
      <c r="L21" s="14">
        <f>SUM(L17:L20)</f>
        <v/>
      </c>
      <c r="M21" s="14">
        <f>SUM(M17:M20)</f>
        <v/>
      </c>
      <c r="N21">
        <f>IF(ABS(E21-1)&lt;0.001,"OK","Phases must total 100%")</f>
        <v/>
      </c>
    </row>
    <row r="23">
      <c r="A23" s="6" t="inlineStr">
        <is>
          <t>Forecast for the quarter (from the inputs above)</t>
        </is>
      </c>
    </row>
    <row r="24">
      <c r="A24" s="15" t="inlineStr">
        <is>
          <t>Campaign</t>
        </is>
      </c>
      <c r="B24" s="15" t="inlineStr">
        <is>
          <t>Spend $</t>
        </is>
      </c>
      <c r="C24" s="15" t="inlineStr">
        <is>
          <t>Impressions</t>
        </is>
      </c>
      <c r="D24" s="15" t="inlineStr">
        <is>
          <t>Link clicks</t>
        </is>
      </c>
      <c r="E24" s="15" t="inlineStr">
        <is>
          <t>Purchases / bookings</t>
        </is>
      </c>
      <c r="F24" s="15" t="inlineStr">
        <is>
          <t>Sales</t>
        </is>
      </c>
      <c r="G24" s="15" t="inlineStr">
        <is>
          <t>Revenue $</t>
        </is>
      </c>
      <c r="H24" s="15" t="inlineStr">
        <is>
          <t>ROAS</t>
        </is>
      </c>
      <c r="I24" s="15" t="inlineStr">
        <is>
          <t>Cost per sale $</t>
        </is>
      </c>
    </row>
    <row r="25">
      <c r="A25" t="inlineStr">
        <is>
          <t>Prospecting</t>
        </is>
      </c>
      <c r="B25" s="16">
        <f>K21</f>
        <v/>
      </c>
      <c r="C25" s="17">
        <f>B25/$B$5*1000</f>
        <v/>
      </c>
      <c r="D25" s="17">
        <f>C25*$B$7</f>
        <v/>
      </c>
      <c r="E25" s="18">
        <f>D25*$B$9</f>
        <v/>
      </c>
      <c r="F25" s="18">
        <f>E25</f>
        <v/>
      </c>
      <c r="G25" s="16">
        <f>F25*$B$4</f>
        <v/>
      </c>
      <c r="H25" s="19">
        <f>IF(B25=0,0,G25/B25)</f>
        <v/>
      </c>
      <c r="I25" s="16">
        <f>IF(F25=0,0,B25/F25)</f>
        <v/>
      </c>
    </row>
    <row r="26">
      <c r="A26" t="inlineStr">
        <is>
          <t>Retargeting</t>
        </is>
      </c>
      <c r="B26" s="16">
        <f>L21</f>
        <v/>
      </c>
      <c r="C26" s="17">
        <f>B26/$B$6*1000</f>
        <v/>
      </c>
      <c r="D26" s="17">
        <f>C26*$B$8</f>
        <v/>
      </c>
      <c r="E26" s="18">
        <f>D26*$B$10</f>
        <v/>
      </c>
      <c r="F26" s="18">
        <f>E26</f>
        <v/>
      </c>
      <c r="G26" s="16">
        <f>F26*$B$4</f>
        <v/>
      </c>
      <c r="H26" s="19">
        <f>IF(B26=0,0,G26/B26)</f>
        <v/>
      </c>
      <c r="I26" s="16">
        <f>IF(F26=0,0,B26/F26)</f>
        <v/>
      </c>
    </row>
    <row r="27">
      <c r="A27" t="inlineStr">
        <is>
          <t>Fittings (bookings → sales)</t>
        </is>
      </c>
      <c r="B27" s="16">
        <f>M21</f>
        <v/>
      </c>
      <c r="C27" s="17" t="inlineStr">
        <is>
          <t>—</t>
        </is>
      </c>
      <c r="D27" s="17" t="inlineStr">
        <is>
          <t>—</t>
        </is>
      </c>
      <c r="E27" s="18">
        <f>B27/$B$11</f>
        <v/>
      </c>
      <c r="F27" s="18">
        <f>E27*$B$12</f>
        <v/>
      </c>
      <c r="G27" s="16">
        <f>F27*$B$13</f>
        <v/>
      </c>
      <c r="H27" s="19">
        <f>IF(B27=0,0,G27/B27)</f>
        <v/>
      </c>
      <c r="I27" s="16">
        <f>IF(F27=0,0,B27/F27)</f>
        <v/>
      </c>
    </row>
    <row r="28">
      <c r="A28" s="6" t="inlineStr">
        <is>
          <t>Total</t>
        </is>
      </c>
      <c r="B28" s="14">
        <f>SUM(B25:B27)</f>
        <v/>
      </c>
      <c r="C28" s="17" t="n"/>
      <c r="D28" s="17" t="n"/>
      <c r="E28" s="18" t="n"/>
      <c r="F28" s="20">
        <f>SUM(F25:F27)</f>
        <v/>
      </c>
      <c r="G28" s="14">
        <f>SUM(G25:G27)</f>
        <v/>
      </c>
      <c r="H28" s="19">
        <f>IF(B28=0,0,G28/B28)</f>
        <v/>
      </c>
      <c r="I28" s="16">
        <f>IF(F28=0,0,B28/F28)</f>
        <v/>
      </c>
    </row>
    <row r="30">
      <c r="A30" s="21" t="inlineStr">
        <is>
          <t>How to read this: a ROAS of 2.0x means $2 of sales for each $1 of ads. Sales from fittings land in the showroom, so track them in Square and add them back.</t>
        </is>
      </c>
    </row>
    <row r="31">
      <c r="A31" s="21" t="inlineStr">
        <is>
          <t>These are planning numbers, not promises. After 14 days, replace the assumptions with real numbers from Ads Manager and WooCommerce.</t>
        </is>
      </c>
    </row>
    <row r="32">
      <c r="A32" s="21" t="inlineStr">
        <is>
          <t>Rules: pause any ad with 2× the target cost per sale and no purchase; raise a winning ad set's budget by no more than 20% every 3 days.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0" customWidth="1" min="3" max="3"/>
  </cols>
  <sheetData>
    <row r="1">
      <c r="A1" s="4" t="inlineStr">
        <is>
          <t>Week of</t>
        </is>
      </c>
      <c r="B1" s="4" t="inlineStr">
        <is>
          <t>Phase</t>
        </is>
      </c>
      <c r="C1" s="4" t="inlineStr">
        <is>
          <t>What launches / changes</t>
        </is>
      </c>
    </row>
    <row r="2">
      <c r="A2" s="5" t="inlineStr">
        <is>
          <t>7 Oct</t>
        </is>
      </c>
      <c r="B2" s="5" t="inlineStr">
        <is>
          <t>Test</t>
        </is>
      </c>
      <c r="C2" s="5" t="inlineStr">
        <is>
          <t>Launch 1, 2, 4, 5, 6</t>
        </is>
      </c>
    </row>
    <row r="3">
      <c r="A3" s="5" t="inlineStr">
        <is>
          <t>14 Oct</t>
        </is>
      </c>
      <c r="B3" s="5" t="inlineStr">
        <is>
          <t>Test</t>
        </is>
      </c>
      <c r="C3" s="5" t="inlineStr">
        <is>
          <t>Add 3; first cuts (7 days of data)</t>
        </is>
      </c>
    </row>
    <row r="4">
      <c r="A4" s="5" t="inlineStr">
        <is>
          <t>21 Oct</t>
        </is>
      </c>
      <c r="B4" s="5" t="inlineStr">
        <is>
          <t>Test</t>
        </is>
      </c>
      <c r="C4" s="5" t="inlineStr">
        <is>
          <t>Add 7, 8; move budget to the top 2 prospecting ads</t>
        </is>
      </c>
    </row>
    <row r="5">
      <c r="A5" s="5" t="inlineStr">
        <is>
          <t>28 Oct</t>
        </is>
      </c>
      <c r="B5" s="5" t="inlineStr">
        <is>
          <t>Test</t>
        </is>
      </c>
      <c r="C5" s="5" t="inlineStr">
        <is>
          <t>Refresh creative; brief the Black Friday assets</t>
        </is>
      </c>
    </row>
    <row r="6">
      <c r="A6" s="5" t="inlineStr">
        <is>
          <t>4 Nov</t>
        </is>
      </c>
      <c r="B6" s="5" t="inlineStr">
        <is>
          <t>Test</t>
        </is>
      </c>
      <c r="C6" s="5" t="inlineStr">
        <is>
          <t>Build BFCM audiences; finalise the offer</t>
        </is>
      </c>
    </row>
    <row r="7">
      <c r="A7" s="5" t="inlineStr">
        <is>
          <t>10 Nov</t>
        </is>
      </c>
      <c r="B7" s="5" t="inlineStr">
        <is>
          <t>BFCM build</t>
        </is>
      </c>
      <c r="C7" s="5" t="inlineStr">
        <is>
          <t>Raise prospecting; warm the audience before the sale</t>
        </is>
      </c>
    </row>
    <row r="8">
      <c r="A8" s="5" t="inlineStr">
        <is>
          <t>17 Nov</t>
        </is>
      </c>
      <c r="B8" s="5" t="inlineStr">
        <is>
          <t>BFCM</t>
        </is>
      </c>
      <c r="C8" s="5" t="inlineStr">
        <is>
          <t>Launch 10 (early access)</t>
        </is>
      </c>
    </row>
    <row r="9">
      <c r="A9" s="5" t="inlineStr">
        <is>
          <t>24 Nov</t>
        </is>
      </c>
      <c r="B9" s="5" t="inlineStr">
        <is>
          <t>BFCM</t>
        </is>
      </c>
      <c r="C9" s="5" t="inlineStr">
        <is>
          <t>Launch 11 on 27 Nov; peak spend 27 Nov – 1 Dec</t>
        </is>
      </c>
    </row>
    <row r="10">
      <c r="A10" s="5" t="inlineStr">
        <is>
          <t>1 Dec</t>
        </is>
      </c>
      <c r="B10" s="5" t="inlineStr">
        <is>
          <t>Gifting</t>
        </is>
      </c>
      <c r="C10" s="5" t="inlineStr">
        <is>
          <t>Cyber Monday last day; launch 9, 12, 14</t>
        </is>
      </c>
    </row>
    <row r="11">
      <c r="A11" s="5" t="inlineStr">
        <is>
          <t>8 Dec</t>
        </is>
      </c>
      <c r="B11" s="5" t="inlineStr">
        <is>
          <t>Gifting</t>
        </is>
      </c>
      <c r="C11" s="5" t="inlineStr">
        <is>
          <t>Launch 13 (last order) on 10 Dec</t>
        </is>
      </c>
    </row>
    <row r="12">
      <c r="A12" s="5" t="inlineStr">
        <is>
          <t>15 Dec</t>
        </is>
      </c>
      <c r="B12" s="5" t="inlineStr">
        <is>
          <t>Gifting → showroom</t>
        </is>
      </c>
      <c r="C12" s="5" t="inlineStr">
        <is>
          <t>Stop shipping-dependent ads after the cut-off; push fittings</t>
        </is>
      </c>
    </row>
    <row r="13">
      <c r="A13" s="5" t="inlineStr">
        <is>
          <t>22 Dec</t>
        </is>
      </c>
      <c r="B13" s="5" t="inlineStr">
        <is>
          <t>Showroom</t>
        </is>
      </c>
      <c r="C13" s="5" t="inlineStr">
        <is>
          <t>Fittings, NYE (14), weddings (9)</t>
        </is>
      </c>
    </row>
    <row r="14">
      <c r="A14" s="5" t="inlineStr">
        <is>
          <t>29 Dec</t>
        </is>
      </c>
      <c r="B14" s="5" t="inlineStr">
        <is>
          <t>Showroom</t>
        </is>
      </c>
      <c r="C14" s="5" t="inlineStr">
        <is>
          <t>NYE; plan January from Q4 results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10" customWidth="1" min="4" max="4"/>
    <col width="10" customWidth="1" min="5" max="5"/>
    <col width="34" customWidth="1" min="6" max="6"/>
    <col width="60" customWidth="1" min="7" max="7"/>
    <col width="44" customWidth="1" min="8" max="8"/>
  </cols>
  <sheetData>
    <row r="1">
      <c r="A1" s="4" t="inlineStr">
        <is>
          <t>Brand</t>
        </is>
      </c>
      <c r="B1" s="4" t="inlineStr">
        <is>
          <t>Live US ads sampled</t>
        </is>
      </c>
      <c r="C1" s="4" t="inlineStr">
        <is>
          <t>Video</t>
        </is>
      </c>
      <c r="D1" s="4" t="inlineStr">
        <is>
          <t>Running &gt;60 days</t>
        </is>
      </c>
      <c r="E1" s="4" t="inlineStr">
        <is>
          <t>Longest-running ad (days)</t>
        </is>
      </c>
      <c r="F1" s="4" t="inlineStr">
        <is>
          <t>Its headline</t>
        </is>
      </c>
      <c r="G1" s="4" t="inlineStr">
        <is>
          <t>Its text</t>
        </is>
      </c>
      <c r="H1" s="4" t="inlineStr">
        <is>
          <t>Ad Library link</t>
        </is>
      </c>
    </row>
    <row r="2">
      <c r="A2" s="5" t="inlineStr">
        <is>
          <t>Beckett Simonon</t>
        </is>
      </c>
      <c r="B2" s="5" t="n">
        <v>60</v>
      </c>
      <c r="C2" s="5" t="inlineStr">
        <is>
          <t>45%</t>
        </is>
      </c>
      <c r="D2" s="5" t="inlineStr">
        <is>
          <t>0%</t>
        </is>
      </c>
      <c r="E2" s="5" t="n">
        <v>36</v>
      </c>
      <c r="F2" s="5" t="inlineStr">
        <is>
          <t>Lopez Boots - Men's</t>
        </is>
      </c>
      <c r="G2" s="5" t="inlineStr">
        <is>
          <t>Our handcrafted shoes are designed to please and built to last.
From casual to formal, you’ll always feel great wearing them.</t>
        </is>
      </c>
      <c r="H2" s="5" t="inlineStr">
        <is>
          <t>https://www.facebook.com/ads/library?id=4510131912562228</t>
        </is>
      </c>
    </row>
    <row r="3">
      <c r="A3" s="5" t="inlineStr">
        <is>
          <t>Brooks Brothers</t>
        </is>
      </c>
      <c r="B3" s="5" t="n">
        <v>60</v>
      </c>
      <c r="C3" s="5" t="inlineStr">
        <is>
          <t>12%</t>
        </is>
      </c>
      <c r="D3" s="5" t="inlineStr">
        <is>
          <t>0%</t>
        </is>
      </c>
      <c r="E3" s="5" t="n">
        <v>27</v>
      </c>
      <c r="F3" s="5" t="inlineStr">
        <is>
          <t>Brooks Brothers</t>
        </is>
      </c>
      <c r="G3" s="5" t="inlineStr">
        <is>
          <t>Classic style is always a smart investment. Save on select favorites.</t>
        </is>
      </c>
      <c r="H3" s="5" t="inlineStr">
        <is>
          <t>https://www.facebook.com/ads/library?id=1623341229301697</t>
        </is>
      </c>
    </row>
    <row r="4">
      <c r="A4" s="5" t="inlineStr">
        <is>
          <t>Buck Mason</t>
        </is>
      </c>
      <c r="B4" s="5" t="n">
        <v>60</v>
      </c>
      <c r="C4" s="5" t="inlineStr">
        <is>
          <t>17%</t>
        </is>
      </c>
      <c r="D4" s="5" t="inlineStr">
        <is>
          <t>57%</t>
        </is>
      </c>
      <c r="E4" s="5" t="n">
        <v>97</v>
      </c>
      <c r="F4" s="5" t="inlineStr">
        <is>
          <t>Flatiron, New York</t>
        </is>
      </c>
      <c r="G4" s="5" t="inlineStr">
        <is>
          <t>Our flagship in NY houses our full men’s collection alongside an archive of vintage clothing and watches.</t>
        </is>
      </c>
      <c r="H4" s="5" t="inlineStr">
        <is>
          <t>https://www.facebook.com/ads/library?id=879825068007262</t>
        </is>
      </c>
    </row>
    <row r="5">
      <c r="A5" s="5" t="inlineStr">
        <is>
          <t>Hockerty</t>
        </is>
      </c>
      <c r="B5" s="5" t="n">
        <v>60</v>
      </c>
      <c r="C5" s="5" t="inlineStr">
        <is>
          <t>42%</t>
        </is>
      </c>
      <c r="D5" s="5" t="inlineStr">
        <is>
          <t>75%</t>
        </is>
      </c>
      <c r="E5" s="5" t="n">
        <v>89</v>
      </c>
      <c r="F5" s="5" t="inlineStr">
        <is>
          <t>Made, not stocked</t>
        </is>
      </c>
      <c r="G5" s="5" t="inlineStr">
        <is>
          <t>Search "56 chest suit" and read the two results. 📏
One is a box that runs weird. One is cut to your 32 measurements, no ceiling. ✅
$349, free US shipping.</t>
        </is>
      </c>
      <c r="H5" s="5" t="inlineStr">
        <is>
          <t>https://www.facebook.com/ads/library?id=1743688460154929</t>
        </is>
      </c>
    </row>
    <row r="6">
      <c r="A6" s="5" t="inlineStr">
        <is>
          <t>Indochino</t>
        </is>
      </c>
      <c r="B6" s="5" t="n">
        <v>60</v>
      </c>
      <c r="C6" s="5" t="inlineStr">
        <is>
          <t>72%</t>
        </is>
      </c>
      <c r="D6" s="5" t="inlineStr">
        <is>
          <t>10%</t>
        </is>
      </c>
      <c r="E6" s="5" t="n">
        <v>131</v>
      </c>
      <c r="F6" s="5" t="inlineStr">
        <is>
          <t>Your New Favorite Shirt, Now 30% Off</t>
        </is>
      </c>
      <c r="G6" s="5" t="inlineStr">
        <is>
          <t>One smart decision leads to three custom shirts. Take 30% off when you build your own shirt bundle.</t>
        </is>
      </c>
      <c r="H6" s="5" t="inlineStr">
        <is>
          <t>https://www.facebook.com/ads/library?id=1515815363227658</t>
        </is>
      </c>
    </row>
    <row r="7">
      <c r="A7" s="5" t="inlineStr">
        <is>
          <t>Jos A Bank</t>
        </is>
      </c>
      <c r="B7" s="5" t="n">
        <v>60</v>
      </c>
      <c r="C7" s="5" t="inlineStr">
        <is>
          <t>38%</t>
        </is>
      </c>
      <c r="D7" s="5" t="inlineStr">
        <is>
          <t>57%</t>
        </is>
      </c>
      <c r="E7" s="5" t="n">
        <v>145</v>
      </c>
      <c r="F7" s="5" t="inlineStr">
        <is>
          <t>The Right Suit Matters</t>
        </is>
      </c>
      <c r="G7" s="5" t="inlineStr">
        <is>
          <t>Discover expertly tailored suits starting at $375, built with the quality and precision your wardrobe deserves.</t>
        </is>
      </c>
      <c r="H7" s="5" t="inlineStr">
        <is>
          <t>https://www.facebook.com/ads/library?id=2470156926781150</t>
        </is>
      </c>
    </row>
    <row r="8">
      <c r="A8" s="5" t="inlineStr">
        <is>
          <t>Suitshop</t>
        </is>
      </c>
      <c r="B8" s="5" t="n">
        <v>60</v>
      </c>
      <c r="C8" s="5" t="inlineStr">
        <is>
          <t>50%</t>
        </is>
      </c>
      <c r="D8" s="5" t="inlineStr">
        <is>
          <t>47%</t>
        </is>
      </c>
      <c r="E8" s="5" t="n">
        <v>805</v>
      </c>
      <c r="F8" s="5" t="inlineStr">
        <is>
          <t>Create your group today</t>
        </is>
      </c>
      <c r="G8" s="5" t="inlineStr">
        <is>
          <t>Simplify suiting for your wedding party, so you can focus on your big day.
✔️ Free swatches
✔️ Easy-to-use fit finder
✔️ Wedding group dashboard
✔️ Coordinating styles for everyone
✔️ Free shipping, returns, &amp; exchanges</t>
        </is>
      </c>
      <c r="H8" s="5" t="inlineStr">
        <is>
          <t>https://www.facebook.com/ads/library?id=1633232827499768</t>
        </is>
      </c>
    </row>
    <row r="9">
      <c r="A9" s="5" t="inlineStr">
        <is>
          <t>Suitsupply</t>
        </is>
      </c>
      <c r="B9" s="5" t="n">
        <v>60</v>
      </c>
      <c r="C9" s="5" t="inlineStr">
        <is>
          <t>22%</t>
        </is>
      </c>
      <c r="D9" s="5" t="inlineStr">
        <is>
          <t>0%</t>
        </is>
      </c>
      <c r="E9" s="5" t="n">
        <v>14</v>
      </c>
      <c r="F9" s="5" t="inlineStr">
        <is>
          <t>Dark Brown Belt in Italian Cow Leather | Belts</t>
        </is>
      </c>
      <c r="G9" s="5" t="inlineStr">
        <is>
          <t>From refined suits to versatile knits — shop the collection, enjoy expert advice, and get in-store tailoring in 30 minutes. Free returns &amp; exchanges included.</t>
        </is>
      </c>
      <c r="H9" s="5" t="inlineStr">
        <is>
          <t>https://www.facebook.com/ads/library?id=1079798931598094</t>
        </is>
      </c>
    </row>
    <row r="10">
      <c r="A10" s="5" t="inlineStr">
        <is>
          <t>Bonobos</t>
        </is>
      </c>
      <c r="B10" s="5" t="n">
        <v>57</v>
      </c>
      <c r="C10" s="5" t="inlineStr">
        <is>
          <t>18%</t>
        </is>
      </c>
      <c r="D10" s="5" t="inlineStr">
        <is>
          <t>11%</t>
        </is>
      </c>
      <c r="E10" s="5" t="n">
        <v>65</v>
      </c>
      <c r="F10" s="5" t="inlineStr">
        <is>
          <t>Jetsetter Knit Blazer - Light Grey</t>
        </is>
      </c>
      <c r="G10" s="5" t="inlineStr">
        <is>
          <t>The best menswear around. Get 20% off your first order. Free shipping &amp; returns in the U.S.</t>
        </is>
      </c>
      <c r="H10" s="5" t="inlineStr">
        <is>
          <t>https://www.facebook.com/ads/library?id=4559620764311039</t>
        </is>
      </c>
    </row>
    <row r="11">
      <c r="A11" s="5" t="inlineStr">
        <is>
          <t>Proper Cloth</t>
        </is>
      </c>
      <c r="B11" s="5" t="n">
        <v>30</v>
      </c>
      <c r="C11" s="5" t="inlineStr">
        <is>
          <t>37%</t>
        </is>
      </c>
      <c r="D11" s="5" t="inlineStr">
        <is>
          <t>93%</t>
        </is>
      </c>
      <c r="E11" s="5" t="n">
        <v>315</v>
      </c>
      <c r="F11" s="5" t="inlineStr">
        <is>
          <t>The Perfect Shirt for Fall</t>
        </is>
      </c>
      <c r="G11" s="5" t="inlineStr">
        <is>
          <t>Now back in stock. Shop Proper Cloth's bestseller.</t>
        </is>
      </c>
      <c r="H11" s="5" t="inlineStr">
        <is>
          <t>https://www.facebook.com/ads/library?id=868053872234880</t>
        </is>
      </c>
    </row>
    <row r="12">
      <c r="A12" s="5" t="inlineStr">
        <is>
          <t>Spier Mackay</t>
        </is>
      </c>
      <c r="B12" s="5" t="n">
        <v>9</v>
      </c>
      <c r="C12" s="5" t="inlineStr">
        <is>
          <t>100%</t>
        </is>
      </c>
      <c r="D12" s="5" t="inlineStr">
        <is>
          <t>0%</t>
        </is>
      </c>
      <c r="E12" s="5" t="n">
        <v>12</v>
      </c>
      <c r="F12" s="5" t="inlineStr">
        <is>
          <t>New Season Arrivals</t>
        </is>
      </c>
      <c r="G12" s="5" t="inlineStr">
        <is>
          <t>Sweater weather is back. As the season changes, knitwear becomes one of the most relied-upon pieces in a wardrobe.</t>
        </is>
      </c>
      <c r="H12" s="5" t="inlineStr">
        <is>
          <t>https://www.facebook.com/ads/library?id=2663642800722650</t>
        </is>
      </c>
    </row>
    <row r="13">
      <c r="A13" s="5" t="inlineStr">
        <is>
          <t>Black Lapel</t>
        </is>
      </c>
      <c r="B13" s="5" t="n">
        <v>1</v>
      </c>
      <c r="C13" s="5" t="inlineStr">
        <is>
          <t>100%</t>
        </is>
      </c>
      <c r="D13" s="5" t="inlineStr">
        <is>
          <t>0%</t>
        </is>
      </c>
      <c r="E13" s="5" t="n">
        <v>34</v>
      </c>
      <c r="F13" s="5" t="inlineStr">
        <is>
          <t>Custom Wedding Suits</t>
        </is>
      </c>
      <c r="G13" s="5" t="inlineStr">
        <is>
          <t>Crafted for a moment you’ll never forget. Discover custom wedding suits today.</t>
        </is>
      </c>
      <c r="H13" s="5" t="inlineStr">
        <is>
          <t>https://www.facebook.com/ads/library?id=1727874084993336</t>
        </is>
      </c>
    </row>
    <row r="15">
      <c r="A15" s="6" t="inlineStr">
        <is>
          <t>20 longest-running ads (the closest public signal of what makes money)</t>
        </is>
      </c>
    </row>
    <row r="16">
      <c r="A16" s="4" t="inlineStr">
        <is>
          <t>Brand</t>
        </is>
      </c>
      <c r="B16" s="4" t="inlineStr">
        <is>
          <t>Days running</t>
        </is>
      </c>
      <c r="C16" s="4" t="inlineStr">
        <is>
          <t>Format</t>
        </is>
      </c>
      <c r="D16" s="4" t="inlineStr">
        <is>
          <t>Headline</t>
        </is>
      </c>
      <c r="E16" s="4" t="inlineStr">
        <is>
          <t>Text</t>
        </is>
      </c>
      <c r="F16" s="4" t="inlineStr">
        <is>
          <t>Landing page</t>
        </is>
      </c>
      <c r="G16" s="4" t="inlineStr">
        <is>
          <t>Ad Library link</t>
        </is>
      </c>
    </row>
    <row r="17">
      <c r="A17" s="5" t="inlineStr">
        <is>
          <t>Suitshop</t>
        </is>
      </c>
      <c r="B17" s="5" t="n">
        <v>805</v>
      </c>
      <c r="C17" s="5" t="inlineStr">
        <is>
          <t>DCO</t>
        </is>
      </c>
      <c r="D17" s="5" t="inlineStr">
        <is>
          <t>Create your group today</t>
        </is>
      </c>
      <c r="E17" s="5" t="inlineStr">
        <is>
          <t>Simplify suiting for your wedding party, so you can focus on your big day.
✔️ Free swatches
✔️ Easy-to-use fit finder
✔️ Wedding group dashboard
✔️ Coordinating styles for everyone
✔️ Free shipping, returns, &amp; exchanges</t>
        </is>
      </c>
      <c r="F17" s="5" t="inlineStr">
        <is>
          <t>https://suitshop.com/weddings/</t>
        </is>
      </c>
      <c r="G17" s="5" t="inlineStr">
        <is>
          <t>https://www.facebook.com/ads/library?id=1633232827499768</t>
        </is>
      </c>
    </row>
    <row r="18">
      <c r="A18" s="5" t="inlineStr">
        <is>
          <t>Proper Cloth</t>
        </is>
      </c>
      <c r="B18" s="5" t="n">
        <v>315</v>
      </c>
      <c r="C18" s="5" t="inlineStr">
        <is>
          <t>Video</t>
        </is>
      </c>
      <c r="D18" s="5" t="inlineStr">
        <is>
          <t>The Perfect Shirt for Fall</t>
        </is>
      </c>
      <c r="E18" s="5" t="inlineStr">
        <is>
          <t>Now back in stock. Shop Proper Cloth's bestseller.</t>
        </is>
      </c>
      <c r="F18" s="5" t="inlineStr">
        <is>
          <t>https://propercloth.com/dress-shirts/Jackson-Faded-Green-and-Navy-Country-Plaid-622897.htm</t>
        </is>
      </c>
      <c r="G18" s="5" t="inlineStr">
        <is>
          <t>https://www.facebook.com/ads/library?id=868053872234880</t>
        </is>
      </c>
    </row>
    <row r="19">
      <c r="A19" s="5" t="inlineStr">
        <is>
          <t>Suitshop</t>
        </is>
      </c>
      <c r="B19" s="5" t="n">
        <v>303</v>
      </c>
      <c r="C19" s="5" t="inlineStr">
        <is>
          <t>DCO</t>
        </is>
      </c>
      <c r="D19" s="5" t="inlineStr">
        <is>
          <t>Free shipping, returns &amp; unlimited exchanges</t>
        </is>
      </c>
      <c r="E19" s="5" t="inlineStr">
        <is>
          <t>Wedding suiting simplified—affordable, inclusive and yours-to-keep suits &amp; tuxedos starting under $200.</t>
        </is>
      </c>
      <c r="F19" s="5" t="inlineStr">
        <is>
          <t>https://suitshop.com/collections/mens/suits/</t>
        </is>
      </c>
      <c r="G19" s="5" t="inlineStr">
        <is>
          <t>https://www.facebook.com/ads/library?id=2672051369847365</t>
        </is>
      </c>
    </row>
    <row r="20">
      <c r="A20" s="5" t="inlineStr">
        <is>
          <t>Suitshop</t>
        </is>
      </c>
      <c r="B20" s="5" t="n">
        <v>303</v>
      </c>
      <c r="C20" s="5" t="inlineStr">
        <is>
          <t>DCO</t>
        </is>
      </c>
      <c r="D20" s="5" t="inlineStr">
        <is>
          <t>Free shipping, returns &amp; unlimited exchanges</t>
        </is>
      </c>
      <c r="E20" s="5" t="inlineStr">
        <is>
          <t>The moment hits different when the suit’s yours for good—affordable &amp; inclusive suits tuxedos starting under $200.</t>
        </is>
      </c>
      <c r="F20" s="5" t="inlineStr">
        <is>
          <t>https://suitshop.com/collections/mens/suits/</t>
        </is>
      </c>
      <c r="G20" s="5" t="inlineStr">
        <is>
          <t>https://www.facebook.com/ads/library?id=1580230513027502</t>
        </is>
      </c>
    </row>
    <row r="21">
      <c r="A21" s="5" t="inlineStr">
        <is>
          <t>Suitshop</t>
        </is>
      </c>
      <c r="B21" s="5" t="n">
        <v>301</v>
      </c>
      <c r="C21" s="5" t="inlineStr">
        <is>
          <t>Video</t>
        </is>
      </c>
      <c r="D21" s="5" t="inlineStr">
        <is>
          <t>Free shipping, returns &amp; unlimited exchanges</t>
        </is>
      </c>
      <c r="E21" s="5" t="inlineStr">
        <is>
          <t>Suiting simplified—affordable, inclusive and yours-to-keep suits &amp; tuxedos starting under $200.</t>
        </is>
      </c>
      <c r="F21" s="5" t="inlineStr">
        <is>
          <t>https://suitshop.com/collections/mens/suits/</t>
        </is>
      </c>
      <c r="G21" s="5" t="inlineStr">
        <is>
          <t>https://www.facebook.com/ads/library?id=2934929956697532</t>
        </is>
      </c>
    </row>
    <row r="22">
      <c r="A22" s="5" t="inlineStr">
        <is>
          <t>Proper Cloth</t>
        </is>
      </c>
      <c r="B22" s="5" t="n">
        <v>240</v>
      </c>
      <c r="C22" s="5" t="inlineStr">
        <is>
          <t>DCO</t>
        </is>
      </c>
      <c r="D22" s="5" t="inlineStr">
        <is>
          <t>Get Fitted for Your First Custom Shirt Today</t>
        </is>
      </c>
      <c r="E22" s="5" t="inlineStr">
        <is>
          <t>It’s never been easier to get shirts that fit perfectly. Get measured quickly by our style experts and start looking your best. Conveniently located in the heart of the Downtown D.C.</t>
        </is>
      </c>
      <c r="F22" s="5" t="inlineStr">
        <is>
          <t>https://propercloth.com/try/showroom-dc</t>
        </is>
      </c>
      <c r="G22" s="5" t="inlineStr">
        <is>
          <t>https://www.facebook.com/ads/library?id=1762153695170595</t>
        </is>
      </c>
    </row>
    <row r="23">
      <c r="A23" s="5" t="inlineStr">
        <is>
          <t>Suitshop</t>
        </is>
      </c>
      <c r="B23" s="5" t="n">
        <v>183</v>
      </c>
      <c r="C23" s="5" t="inlineStr">
        <is>
          <t>Video</t>
        </is>
      </c>
      <c r="D23" s="5" t="inlineStr">
        <is>
          <t>Free shipping, returns &amp; unlimited exchanges</t>
        </is>
      </c>
      <c r="E23" s="5" t="inlineStr">
        <is>
          <t>Summer wedding season suiting simplified—our new Linen-Look Collection is affordable, inclusive and yours-to-keep, starting under $250.</t>
        </is>
      </c>
      <c r="F23" s="5" t="inlineStr">
        <is>
          <t>https://suitshop.com/collections/mens/performance-and-linen-suits/</t>
        </is>
      </c>
      <c r="G23" s="5" t="inlineStr">
        <is>
          <t>https://www.facebook.com/ads/library?id=2381961555614456</t>
        </is>
      </c>
    </row>
    <row r="24">
      <c r="A24" s="5" t="inlineStr">
        <is>
          <t>Suitshop</t>
        </is>
      </c>
      <c r="B24" s="5" t="n">
        <v>183</v>
      </c>
      <c r="C24" s="5" t="inlineStr">
        <is>
          <t>DPA</t>
        </is>
      </c>
      <c r="D24" s="5" t="inlineStr">
        <is>
          <t>Men's Light Blue Suit Vest</t>
        </is>
      </c>
      <c r="E24" s="5" t="inlineStr">
        <is>
          <t>Style that suits you—yours to own, from your wedding day to everyday. Starting under $200.</t>
        </is>
      </c>
      <c r="F24" s="5" t="inlineStr">
        <is>
          <t>http://suitshop.com/</t>
        </is>
      </c>
      <c r="G24" s="5" t="inlineStr">
        <is>
          <t>https://www.facebook.com/ads/library?id=961204763024314</t>
        </is>
      </c>
    </row>
    <row r="25">
      <c r="A25" s="5" t="inlineStr">
        <is>
          <t>Suitshop</t>
        </is>
      </c>
      <c r="B25" s="5" t="n">
        <v>183</v>
      </c>
      <c r="C25" s="5" t="inlineStr">
        <is>
          <t>DCO</t>
        </is>
      </c>
      <c r="D25" s="5" t="inlineStr">
        <is>
          <t>Say 'I Do' in Style</t>
        </is>
      </c>
      <c r="E25" s="5" t="inlineStr">
        <is>
          <t>Get your dream wedding look from anywhere with FREE suit fabric swatches! 🎉</t>
        </is>
      </c>
      <c r="F25" s="5" t="inlineStr">
        <is>
          <t>https://suitshop.com/swatches/</t>
        </is>
      </c>
      <c r="G25" s="5" t="inlineStr">
        <is>
          <t>https://www.facebook.com/ads/library?id=3487505891402366</t>
        </is>
      </c>
    </row>
    <row r="26">
      <c r="A26" s="5" t="inlineStr">
        <is>
          <t>Suitshop</t>
        </is>
      </c>
      <c r="B26" s="5" t="n">
        <v>183</v>
      </c>
      <c r="C26" s="5" t="inlineStr">
        <is>
          <t>Video</t>
        </is>
      </c>
      <c r="D26" s="5" t="inlineStr">
        <is>
          <t>Be an outfit repeater when you OWN your style.</t>
        </is>
      </c>
      <c r="E26" s="5" t="inlineStr">
        <is>
          <t>Kiss outdated suit and tuxedo rentals goodbye.
Own your look for $199.
✅Find your fit without leaving home
✅Simplified wedding group management
✅Fast &amp; free shipping, exchanges, &amp; returns</t>
        </is>
      </c>
      <c r="F26" s="5" t="inlineStr">
        <is>
          <t>https://suitshop.com/collections/all-suits-tuxedos/</t>
        </is>
      </c>
      <c r="G26" s="5" t="inlineStr">
        <is>
          <t>https://www.facebook.com/ads/library?id=803534865713250</t>
        </is>
      </c>
    </row>
    <row r="27">
      <c r="A27" s="5" t="inlineStr">
        <is>
          <t>Proper Cloth</t>
        </is>
      </c>
      <c r="B27" s="5" t="n">
        <v>181</v>
      </c>
      <c r="C27" s="5" t="inlineStr">
        <is>
          <t>Video</t>
        </is>
      </c>
      <c r="D27" s="5" t="inlineStr">
        <is>
          <t>Book Your Custom Menswear Fitting</t>
        </is>
      </c>
      <c r="E27" s="5" t="inlineStr">
        <is>
          <t>Everyone's favorite custom menswear brand is now in SoHo. Book your complimentary fitting to build a perfect wardrobe.</t>
        </is>
      </c>
      <c r="F27" s="5" t="inlineStr">
        <is>
          <t>https://propercloth.com/try/showrooms</t>
        </is>
      </c>
      <c r="G27" s="5" t="inlineStr">
        <is>
          <t>https://www.facebook.com/ads/library?id=952689140841775</t>
        </is>
      </c>
    </row>
    <row r="28">
      <c r="A28" s="5" t="inlineStr">
        <is>
          <t>Proper Cloth</t>
        </is>
      </c>
      <c r="B28" s="5" t="n">
        <v>181</v>
      </c>
      <c r="C28" s="5" t="inlineStr">
        <is>
          <t>Video</t>
        </is>
      </c>
      <c r="D28" s="5" t="inlineStr">
        <is>
          <t>Book Your Custom Menswear Fitting</t>
        </is>
      </c>
      <c r="E28" s="5" t="inlineStr">
        <is>
          <t>The best custom menswear has arrived in Washington, D.C. Book your complimentary fitting to build your perfect-fitting wardrobe.</t>
        </is>
      </c>
      <c r="F28" s="5" t="inlineStr">
        <is>
          <t>https://propercloth.com/try/showroom-dc</t>
        </is>
      </c>
      <c r="G28" s="5" t="inlineStr">
        <is>
          <t>https://www.facebook.com/ads/library?id=672094342663197</t>
        </is>
      </c>
    </row>
    <row r="29">
      <c r="A29" s="5" t="inlineStr">
        <is>
          <t>Proper Cloth</t>
        </is>
      </c>
      <c r="B29" s="5" t="n">
        <v>181</v>
      </c>
      <c r="C29" s="5" t="inlineStr">
        <is>
          <t>Video</t>
        </is>
      </c>
      <c r="D29" s="5" t="inlineStr">
        <is>
          <t>Book Your Custom Menswear Fitting</t>
        </is>
      </c>
      <c r="E29" s="5" t="inlineStr">
        <is>
          <t>Everyone's favorite custom menswear brand is now in Washington, D.C. Book your complimentary fitting to build a perfect wardrobe.</t>
        </is>
      </c>
      <c r="F29" s="5" t="inlineStr">
        <is>
          <t>https://propercloth.com/try/showroom-dc</t>
        </is>
      </c>
      <c r="G29" s="5" t="inlineStr">
        <is>
          <t>https://www.facebook.com/ads/library?id=2018927435640516</t>
        </is>
      </c>
    </row>
    <row r="30">
      <c r="A30" s="5" t="inlineStr">
        <is>
          <t>Proper Cloth</t>
        </is>
      </c>
      <c r="B30" s="5" t="n">
        <v>181</v>
      </c>
      <c r="C30" s="5" t="inlineStr">
        <is>
          <t>DCO</t>
        </is>
      </c>
      <c r="D30" s="5" t="inlineStr">
        <is>
          <t>Book Your Custom Menswear Fitting</t>
        </is>
      </c>
      <c r="E30" s="5" t="inlineStr">
        <is>
          <t>Everyone's favorite custom menswear brand is now in Chicago. Book your complimentary fitting to build a perfect wardrobe.</t>
        </is>
      </c>
      <c r="F30" s="5" t="inlineStr">
        <is>
          <t>https://propercloth.com/try/showroom-chicago</t>
        </is>
      </c>
      <c r="G30" s="5" t="inlineStr">
        <is>
          <t>https://www.facebook.com/ads/library?id=4378321152496062</t>
        </is>
      </c>
    </row>
    <row r="31">
      <c r="A31" s="5" t="inlineStr">
        <is>
          <t>Proper Cloth</t>
        </is>
      </c>
      <c r="B31" s="5" t="n">
        <v>181</v>
      </c>
      <c r="C31" s="5" t="inlineStr">
        <is>
          <t>Video</t>
        </is>
      </c>
      <c r="D31" s="5" t="inlineStr">
        <is>
          <t>Book Your Custom Menswear Fitting</t>
        </is>
      </c>
      <c r="E31" s="5" t="inlineStr">
        <is>
          <t>Everyone's favorite custom menswear brand is in SoHo. Book your complimentary fitting to build a perfect wardrobe.</t>
        </is>
      </c>
      <c r="F31" s="5" t="inlineStr">
        <is>
          <t>https://propercloth.com/try/showrooms</t>
        </is>
      </c>
      <c r="G31" s="5" t="inlineStr">
        <is>
          <t>https://www.facebook.com/ads/library?id=1242026544753268</t>
        </is>
      </c>
    </row>
    <row r="32">
      <c r="A32" s="5" t="inlineStr">
        <is>
          <t>Jos A Bank</t>
        </is>
      </c>
      <c r="B32" s="5" t="n">
        <v>145</v>
      </c>
      <c r="C32" s="5" t="inlineStr">
        <is>
          <t>Video</t>
        </is>
      </c>
      <c r="D32" s="5" t="inlineStr">
        <is>
          <t>The Right Suit Matters</t>
        </is>
      </c>
      <c r="E32" s="5" t="inlineStr">
        <is>
          <t>Discover expertly tailored suits starting at $375, built with the quality and precision your wardrobe deserves.</t>
        </is>
      </c>
      <c r="F32" s="5" t="inlineStr">
        <is>
          <t>https://www.josbank.com/c/suits/all-suits</t>
        </is>
      </c>
      <c r="G32" s="5" t="inlineStr">
        <is>
          <t>https://www.facebook.com/ads/library?id=2470156926781150</t>
        </is>
      </c>
    </row>
    <row r="33">
      <c r="A33" s="5" t="inlineStr">
        <is>
          <t>Proper Cloth</t>
        </is>
      </c>
      <c r="B33" s="5" t="n">
        <v>138</v>
      </c>
      <c r="C33" s="5" t="inlineStr">
        <is>
          <t>DCO</t>
        </is>
      </c>
      <c r="D33" s="5" t="inlineStr">
        <is>
          <t>The Search for the Perfect Chino Ends Here</t>
        </is>
      </c>
      <c r="E33" s="5" t="inlineStr">
        <is>
          <t>“These pants are softer than your typical pair of chinos. The fit is perfect.” - Artevius in Tucson, AZ</t>
        </is>
      </c>
      <c r="F33" s="5" t="inlineStr">
        <is>
          <t>https://propercloth.com/tailored-clothing/versa-slate-washable-cotton-stretch-pant-146394.</t>
        </is>
      </c>
      <c r="G33" s="5" t="inlineStr">
        <is>
          <t>https://www.facebook.com/ads/library?id=921944197527072</t>
        </is>
      </c>
    </row>
    <row r="34">
      <c r="A34" s="5" t="inlineStr">
        <is>
          <t>Indochino</t>
        </is>
      </c>
      <c r="B34" s="5" t="n">
        <v>131</v>
      </c>
      <c r="C34" s="5" t="inlineStr">
        <is>
          <t>DCO</t>
        </is>
      </c>
      <c r="D34" s="5" t="inlineStr">
        <is>
          <t>Your New Favorite Shirt, Now 30% Off</t>
        </is>
      </c>
      <c r="E34" s="5" t="inlineStr">
        <is>
          <t>One smart decision leads to three custom shirts. Take 30% off when you build your own shirt bundle.</t>
        </is>
      </c>
      <c r="F34" s="5" t="inlineStr">
        <is>
          <t>https://www.indochino.com/collection/shirts</t>
        </is>
      </c>
      <c r="G34" s="5" t="inlineStr">
        <is>
          <t>https://www.facebook.com/ads/library?id=1515815363227658</t>
        </is>
      </c>
    </row>
    <row r="35">
      <c r="A35" s="5" t="inlineStr">
        <is>
          <t>Suitshop</t>
        </is>
      </c>
      <c r="B35" s="5" t="n">
        <v>128</v>
      </c>
      <c r="C35" s="5" t="inlineStr">
        <is>
          <t>Video</t>
        </is>
      </c>
      <c r="D35" s="5" t="inlineStr">
        <is>
          <t>Free shipping, returns &amp; unlimited exchanges</t>
        </is>
      </c>
      <c r="E35" s="5" t="inlineStr">
        <is>
          <t>Wedding suiting simplified—our collection is affordable, inclusive and yours-to-keep, starting under $250.</t>
        </is>
      </c>
      <c r="F35" s="5" t="inlineStr">
        <is>
          <t>https://suitshop.com/collections/mens/suits-and-tuxedos/</t>
        </is>
      </c>
      <c r="G35" s="5" t="inlineStr">
        <is>
          <t>https://www.facebook.com/ads/library?id=1007102202010408</t>
        </is>
      </c>
    </row>
    <row r="36">
      <c r="A36" s="5" t="inlineStr">
        <is>
          <t>Suitshop</t>
        </is>
      </c>
      <c r="B36" s="5" t="n">
        <v>128</v>
      </c>
      <c r="C36" s="5" t="inlineStr">
        <is>
          <t>Video</t>
        </is>
      </c>
      <c r="D36" s="5" t="inlineStr">
        <is>
          <t>Free shipping, returns &amp; unlimited exchanges</t>
        </is>
      </c>
      <c r="E36" s="5" t="inlineStr">
        <is>
          <t>Suiting simplified—our men's suit and tuxedo collection is affordable, inclusive and yours-to-keep, starting under $250.</t>
        </is>
      </c>
      <c r="F36" s="5" t="inlineStr">
        <is>
          <t>https://suitshop.com/collections/mens/suits-and-tuxedos/</t>
        </is>
      </c>
      <c r="G36" s="5" t="inlineStr">
        <is>
          <t>https://www.facebook.com/ads/library?id=1295050262793923</t>
        </is>
      </c>
    </row>
    <row r="38">
      <c r="A38" s="21" t="inlineStr">
        <is>
          <t>Source: Meta Ad Library via the ScrapeCreators API, active ads shown in the US on 7 Oct 2026 (up to 60 per brand). Running time is a proxy for performance, not a measurement.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  <col width="14" customWidth="1" min="3" max="3"/>
  </cols>
  <sheetData>
    <row r="1">
      <c r="A1" s="4" t="inlineStr">
        <is>
          <t>When</t>
        </is>
      </c>
      <c r="B1" s="4" t="inlineStr">
        <is>
          <t>Task</t>
        </is>
      </c>
      <c r="C1" s="4" t="inlineStr">
        <is>
          <t>Done? (type Yes)</t>
        </is>
      </c>
    </row>
    <row r="2">
      <c r="A2" s="5" t="inlineStr">
        <is>
          <t>Before launch</t>
        </is>
      </c>
      <c r="B2" s="5" t="inlineStr">
        <is>
          <t>Use one pixel: "Nyoni Couture - Meta Pixel" (352194110524209) is the live one; stop the 2017 pixel firing.</t>
        </is>
      </c>
      <c r="C2" s="22" t="inlineStr"/>
    </row>
    <row r="3">
      <c r="A3" s="5" t="inlineStr">
        <is>
          <t>Before launch</t>
        </is>
      </c>
      <c r="B3" s="5" t="inlineStr">
        <is>
          <t>Check Purchase sends value and currency from WooCommerce, by browser and server (only 10 purchases in 24 days: confirm none are being missed).</t>
        </is>
      </c>
      <c r="C3" s="22" t="inlineStr"/>
    </row>
    <row r="4">
      <c r="A4" s="5" t="inlineStr">
        <is>
          <t>Before launch</t>
        </is>
      </c>
      <c r="B4" s="5" t="inlineStr">
        <is>
          <t>Turn on customer email and phone matching in the Meta for WooCommerce plugin (page-view match quality is 6.1 of 10).</t>
        </is>
      </c>
      <c r="C4" s="22" t="inlineStr"/>
    </row>
    <row r="5">
      <c r="A5" s="5" t="inlineStr">
        <is>
          <t>Before launch</t>
        </is>
      </c>
      <c r="B5" s="5" t="inlineStr">
        <is>
          <t>Fire the Schedule event on confirmed Square bookings, not just clicks, so the Fittings campaign optimises for real bookings.</t>
        </is>
      </c>
      <c r="C5" s="22" t="inlineStr"/>
    </row>
    <row r="6">
      <c r="A6" s="5" t="inlineStr">
        <is>
          <t>Before launch</t>
        </is>
      </c>
      <c r="B6" s="5" t="inlineStr">
        <is>
          <t>Custom audiences: IG engagers 365 d, page followers, site visitors 180 d, product viewers 30 d, add-to-cart 14 d, purchasers 180 d (exclusion), customer list upload.</t>
        </is>
      </c>
      <c r="C6" s="22" t="inlineStr"/>
    </row>
    <row r="7">
      <c r="A7" s="5" t="inlineStr">
        <is>
          <t>Before launch</t>
        </is>
      </c>
      <c r="B7" s="5" t="inlineStr">
        <is>
          <t>Catalog: check the 31 app products appear with correct prices, sizes and stock in "Nyoni Couture - WooCommerce".</t>
        </is>
      </c>
      <c r="C7" s="22" t="inlineStr"/>
    </row>
    <row r="8">
      <c r="A8" s="5" t="inlineStr">
        <is>
          <t>Before launch</t>
        </is>
      </c>
      <c r="B8" s="5" t="inlineStr">
        <is>
          <t>Add UTM tags (utm_source=meta&amp;utm_campaign=…) to every ad so WooCommerce shows ad sales.</t>
        </is>
      </c>
      <c r="C8" s="22" t="inlineStr"/>
    </row>
    <row r="9">
      <c r="A9" s="5" t="inlineStr">
        <is>
          <t>Decide</t>
        </is>
      </c>
      <c r="B9" s="5" t="inlineStr">
        <is>
          <t>Black Friday offer (percentage, gift with purchase, or none).</t>
        </is>
      </c>
      <c r="C9" s="22" t="inlineStr"/>
    </row>
    <row r="10">
      <c r="A10" s="5" t="inlineStr">
        <is>
          <t>Decide</t>
        </is>
      </c>
      <c r="B10" s="5" t="inlineStr">
        <is>
          <t>Christmas shipping cut-off date.</t>
        </is>
      </c>
      <c r="C10" s="22" t="inlineStr"/>
    </row>
    <row r="11">
      <c r="A11" s="5" t="inlineStr">
        <is>
          <t>Decide</t>
        </is>
      </c>
      <c r="B11" s="5" t="inlineStr">
        <is>
          <t>Returns, exchanges and alterations policy you are happy to advertise.</t>
        </is>
      </c>
      <c r="C11" s="22" t="inlineStr"/>
    </row>
    <row r="12">
      <c r="A12" s="5" t="inlineStr">
        <is>
          <t>Decide</t>
        </is>
      </c>
      <c r="B12" s="5" t="inlineStr">
        <is>
          <t>3–5 real customer reviews with permission to quote.</t>
        </is>
      </c>
      <c r="C12" s="22" t="inlineStr"/>
    </row>
    <row r="13">
      <c r="A13" s="5" t="inlineStr">
        <is>
          <t>Decide</t>
        </is>
      </c>
      <c r="B13" s="5" t="inlineStr">
        <is>
          <t>Whether the app is public before concept 15 runs.</t>
        </is>
      </c>
      <c r="C13" s="22" t="inlineStr"/>
    </row>
    <row r="14">
      <c r="A14" s="5" t="inlineStr">
        <is>
          <t>Weekly</t>
        </is>
      </c>
      <c r="B14" s="5" t="inlineStr">
        <is>
          <t>Each Monday: cost per purchase, cost per booking, ROAS, top 3 ads by spend and by purchases; pause losers; refresh 2 creatives.</t>
        </is>
      </c>
      <c r="C14" s="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2026-10-07T07:43:47Z</dcterms:created>
  <dcterms:modified xsi:type="dcterms:W3CDTF">2026-10-07T07:43:47Z</dcterms:modified>
</cp:coreProperties>
</file>